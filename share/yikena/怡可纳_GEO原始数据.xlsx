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82e3ba20884701" /></Relationships>
</file>

<file path=xl/workbook.xml><?xml version="1.0" encoding="utf-8"?>
<x:workbook xmlns:x="http://schemas.openxmlformats.org/spreadsheetml/2006/main">
  <x:sheets>
    <x:sheet xmlns:r="http://schemas.openxmlformats.org/officeDocument/2006/relationships" name="Overview" sheetId="1" r:id="Rb73daa6a685c48f1"/>
    <x:sheet xmlns:r="http://schemas.openxmlformats.org/officeDocument/2006/relationships" name="Raw Answers" sheetId="2" r:id="Refb69ae15c7c49a7"/>
    <x:sheet xmlns:r="http://schemas.openxmlformats.org/officeDocument/2006/relationships" name="Query Analysis" sheetId="3" r:id="R8cb72a06b5994eab"/>
    <x:sheet xmlns:r="http://schemas.openxmlformats.org/officeDocument/2006/relationships" name="Brand Competition" sheetId="4" r:id="R435beec2f46043a0"/>
    <x:sheet xmlns:r="http://schemas.openxmlformats.org/officeDocument/2006/relationships" name="Citation Sources" sheetId="5" r:id="R0b485a25ee894b6d"/>
    <x:sheet xmlns:r="http://schemas.openxmlformats.org/officeDocument/2006/relationships" name="AI Perception" sheetId="6" r:id="Ref406b19ec324527"/>
    <x:sheet xmlns:r="http://schemas.openxmlformats.org/officeDocument/2006/relationships" name="Risks" sheetId="7" r:id="R048d42dcd224452c"/>
    <x:sheet xmlns:r="http://schemas.openxmlformats.org/officeDocument/2006/relationships" name="Action Plan" sheetId="8" r:id="Rfeddcbe1d477447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sz val="10"/>
      <x:color rgb="FF22323C"/>
      <x:name val="Microsoft YaHei"/>
    </x:font>
    <x:font>
      <x:b/>
      <x:sz val="10"/>
      <x:color rgb="FFFFFFFF"/>
      <x:name val="Microsoft YaHei"/>
    </x:font>
    <x:font>
      <x:b/>
      <x:sz val="18"/>
      <x:color rgb="FFFFFFFF"/>
      <x:name val="Microsoft YaHei"/>
    </x:font>
    <x:font>
      <x:b/>
      <x:sz val="11"/>
      <x:color rgb="FF23556B"/>
      <x:name val="Microsoft YaHei"/>
    </x:font>
  </x:fonts>
  <x:fills count="4">
    <x:fill>
      <x:patternFill patternType="none"/>
    </x:fill>
    <x:fill>
      <x:patternFill patternType="gray125"/>
    </x:fill>
    <x:fill>
      <x:patternFill patternType="solid">
        <x:fgColor rgb="FF23556B"/>
      </x:patternFill>
    </x:fill>
    <x:fill>
      <x:patternFill patternType="solid">
        <x:fgColor rgb="FFE9F1F3"/>
      </x:patternFill>
    </x:fill>
  </x:fills>
  <x:borders count="1">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0"/>
    </x:xf>
    <x:xf numFmtId="0" fontId="1" fillId="0" borderId="0" xfId="0" applyNumberFormat="1" applyFont="1" applyFill="1" applyBorder="1" applyAlignment="1">
      <x:alignment vertical="top" wrapText="0"/>
    </x:xf>
    <x:xf numFmtId="200" fontId="1" fillId="0" borderId="0" xfId="0" applyNumberFormat="1" applyFont="1" applyFill="1" applyBorder="1" applyAlignment="1">
      <x:alignment vertical="top" wrapText="0"/>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200" fontId="0" fillId="0" borderId="0" xfId="0" applyNumberFormat="1" applyFont="1" applyFill="1" applyBorder="1"/>
    <x:xf numFmtId="20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a124e09f784ea9" /><Relationship Type="http://schemas.openxmlformats.org/officeDocument/2006/relationships/theme" Target="/xl/theme/theme1.xml" Id="R9456661919b74697" /><Relationship Type="http://schemas.openxmlformats.org/officeDocument/2006/relationships/sharedStrings" Target="/xl/sharedStrings.xml" Id="R8d53e108e4ea49f8" /><Relationship Type="http://schemas.openxmlformats.org/officeDocument/2006/relationships/worksheet" Target="/xl/worksheets/sheet1.xml" Id="Rb73daa6a685c48f1" /><Relationship Type="http://schemas.openxmlformats.org/officeDocument/2006/relationships/worksheet" Target="/xl/worksheets/sheet2.xml" Id="Refb69ae15c7c49a7" /><Relationship Type="http://schemas.openxmlformats.org/officeDocument/2006/relationships/worksheet" Target="/xl/worksheets/sheet3.xml" Id="R8cb72a06b5994eab" /><Relationship Type="http://schemas.openxmlformats.org/officeDocument/2006/relationships/worksheet" Target="/xl/worksheets/sheet4.xml" Id="R435beec2f46043a0" /><Relationship Type="http://schemas.openxmlformats.org/officeDocument/2006/relationships/worksheet" Target="/xl/worksheets/sheet5.xml" Id="R0b485a25ee894b6d" /><Relationship Type="http://schemas.openxmlformats.org/officeDocument/2006/relationships/worksheet" Target="/xl/worksheets/sheet6.xml" Id="Ref406b19ec324527" /><Relationship Type="http://schemas.openxmlformats.org/officeDocument/2006/relationships/worksheet" Target="/xl/worksheets/sheet7.xml" Id="R048d42dcd224452c" /><Relationship Type="http://schemas.openxmlformats.org/officeDocument/2006/relationships/worksheet" Target="/xl/worksheets/sheet8.xml" Id="Rfeddcbe1d47744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BA643E"/>
  </x:sheetPr>
  <x:sheetViews>
    <x:sheetView showGridLines="0" workbookViewId="0">
      <x:pane ySplit="4" topLeftCell="A5" activePane="bottomLeft" state="frozen"/>
    </x:sheetView>
  </x:sheetViews>
  <x:sheetFormatPr defaultRowHeight="15"/>
  <x:cols>
    <x:col min="1" max="1" width="23" hidden="0" customWidth="1"/>
    <x:col min="2" max="2" width="24" hidden="0" customWidth="1"/>
    <x:col min="3" max="3" width="52" hidden="0" customWidth="1"/>
    <x:col min="4" max="4" width="18" hidden="0" customWidth="1"/>
  </x:cols>
  <x:sheetData>
    <x:row r="1" ht="26" customHeight="1">
      <x:c r="A1" s="10" t="str">
        <x:v>怡可纳 GEO / AI搜索可见度诊断 · 数据总览</x:v>
      </x:c>
      <x:c r="B1" s="10"/>
      <x:c r="C1" s="10"/>
      <x:c r="D1" s="10"/>
      <x:c r="E1" s="10"/>
      <x:c r="F1" s="10"/>
      <x:c r="G1" s="10"/>
      <x:c r="H1" s="10"/>
    </x:row>
    <x:row r="2" ht="26" customHeight="1">
      <x:c r="A2" s="10"/>
      <x:c r="B2" s="10"/>
      <x:c r="C2" s="10"/>
      <x:c r="D2" s="10"/>
      <x:c r="E2" s="10"/>
      <x:c r="F2" s="10"/>
      <x:c r="G2" s="10"/>
      <x:c r="H2" s="10"/>
    </x:row>
    <x:row r="4" ht="28" customHeight="1">
      <x:c r="A4" s="12" t="str">
        <x:v>核心指标</x:v>
      </x:c>
      <x:c r="B4" s="12" t="str">
        <x:v>数值</x:v>
      </x:c>
      <x:c r="C4" s="12" t="str">
        <x:v>口径</x:v>
      </x:c>
      <x:c r="D4" s="12" t="str">
        <x:v>报告数值</x:v>
      </x:c>
    </x:row>
    <x:row r="5">
      <x:c r="A5" s="1" t="str">
        <x:v>理论问答数</x:v>
      </x:c>
      <x:c r="B5" s="1" t="n">
        <x:v>100</x:v>
      </x:c>
      <x:c r="C5" s="1" t="str">
        <x:v>20题 × 5平台</x:v>
      </x:c>
      <x:c r="D5" s="1" t="n">
        <x:v>100</x:v>
      </x:c>
    </x:row>
    <x:row r="6">
      <x:c r="A6" s="1" t="str">
        <x:v>有效回答数</x:v>
      </x:c>
      <x:c r="B6" s="1" t="n">
        <x:f>COUNTIF('Raw Answers'!G2:G101,"有效")</x:f>
        <x:v>91</x:v>
      </x:c>
      <x:c r="C6" s="1" t="str">
        <x:v>Raw Answers中“有效”</x:v>
      </x:c>
      <x:c r="D6" s="1" t="n">
        <x:v>91</x:v>
      </x:c>
    </x:row>
    <x:row r="7">
      <x:c r="A7" s="1" t="str">
        <x:v>自然有效答</x:v>
      </x:c>
      <x:c r="B7" s="1" t="n">
        <x:f>COUNTIFS('Raw Answers'!E2:E101,"自然",'Raw Answers'!G2:G101,"有效")</x:f>
        <x:v>75</x:v>
      </x:c>
      <x:c r="C7" s="1" t="str">
        <x:v>Q1—Q16且有效</x:v>
      </x:c>
      <x:c r="D7" s="1" t="n">
        <x:v>75</x:v>
      </x:c>
    </x:row>
    <x:row r="8">
      <x:c r="A8" s="1" t="str">
        <x:v>自然提及答</x:v>
      </x:c>
      <x:c r="B8" s="1" t="n">
        <x:f>COUNTIFS('Raw Answers'!E2:E101,"自然",'Raw Answers'!G2:G101,"有效",'Raw Answers'!I2:I101,"是")</x:f>
        <x:v>9</x:v>
      </x:c>
      <x:c r="C8" s="1" t="str">
        <x:v>自然、有效且提及怡可纳</x:v>
      </x:c>
      <x:c r="D8" s="1" t="n">
        <x:v>9</x:v>
      </x:c>
    </x:row>
    <x:row r="9">
      <x:c r="A9" s="1" t="str">
        <x:v>回答提及率</x:v>
      </x:c>
      <x:c r="B9" s="14" t="n">
        <x:f>B8/B7</x:f>
        <x:v>0.12</x:v>
      </x:c>
      <x:c r="C9" s="1" t="str">
        <x:v>自然提及答 ÷ 自然有效答</x:v>
      </x:c>
      <x:c r="D9" s="14" t="n">
        <x:v>0.12</x:v>
      </x:c>
    </x:row>
    <x:row r="10">
      <x:c r="A10" s="1" t="str">
        <x:v>问题覆盖题数</x:v>
      </x:c>
      <x:c r="B10" s="1" t="n">
        <x:f>COUNTIF('Query Analysis'!E2:E17,"&gt;0")</x:f>
        <x:v>6</x:v>
      </x:c>
      <x:c r="C10" s="1" t="str">
        <x:v>Q1—Q16至少一个平台自然提及</x:v>
      </x:c>
      <x:c r="D10" s="1" t="n">
        <x:v>6</x:v>
      </x:c>
    </x:row>
    <x:row r="11">
      <x:c r="A11" s="1" t="str">
        <x:v>问题覆盖率</x:v>
      </x:c>
      <x:c r="B11" s="14" t="n">
        <x:f>B10/16</x:f>
        <x:v>0.375</x:v>
      </x:c>
      <x:c r="C11" s="1" t="str">
        <x:v>覆盖题数 ÷ 16</x:v>
      </x:c>
      <x:c r="D11" s="14" t="n">
        <x:v>0.375</x:v>
      </x:c>
    </x:row>
    <x:row r="12">
      <x:c r="A12" s="1" t="str">
        <x:v>明确Top3</x:v>
      </x:c>
      <x:c r="B12" s="1" t="n">
        <x:f>COUNTIFS('Raw Answers'!J2:J101,"&gt;=1",'Raw Answers'!J2:J101,"&lt;=3",'Raw Answers'!E2:E101,"自然")</x:f>
        <x:v>0</x:v>
      </x:c>
      <x:c r="C12" s="1" t="str">
        <x:v>3条品牌明确编号排序的回答</x:v>
      </x:c>
      <x:c r="D12" s="1" t="n">
        <x:v>0</x:v>
      </x:c>
    </x:row>
    <x:row r="13">
      <x:c r="A13" s="1" t="str">
        <x:v>第一推荐表达</x:v>
      </x:c>
      <x:c r="B13" s="1" t="n">
        <x:v>1</x:v>
      </x:c>
      <x:c r="C13" s="1" t="str">
        <x:v>豆包Q14“稳妥首选”</x:v>
      </x:c>
      <x:c r="D13" s="1" t="n">
        <x:v>1</x:v>
      </x:c>
    </x:row>
    <x:row r="14">
      <x:c r="A14" s="1" t="str">
        <x:v>引用链接出现</x:v>
      </x:c>
      <x:c r="B14" s="1" t="n">
        <x:f>COUNTA('Citation Sources'!A2:A937)</x:f>
        <x:v>936</x:v>
      </x:c>
      <x:c r="C14" s="1" t="str">
        <x:v>Citation Sources行数</x:v>
      </x:c>
      <x:c r="D14" s="1" t="n">
        <x:v>936</x:v>
      </x:c>
    </x:row>
    <x:row r="15">
      <x:c r="A15" s="1" t="str">
        <x:v>去重引用URL</x:v>
      </x:c>
      <x:c r="B15" s="1" t="n">
        <x:v>793</x:v>
      </x:c>
      <x:c r="C15" s="1" t="str">
        <x:v>按URL去重</x:v>
      </x:c>
      <x:c r="D15" s="1" t="n">
        <x:v>793</x:v>
      </x:c>
    </x:row>
    <x:row r="16">
      <x:c r="A16" s="1"/>
      <x:c r="B16" s="1"/>
      <x:c r="C16" s="1"/>
      <x:c r="D16" s="1"/>
    </x:row>
    <x:row r="17" ht="34" customHeight="1">
      <x:c r="A17" s="1" t="str">
        <x:v>采样说明</x:v>
      </x:c>
      <x:c r="B17" s="1" t="str">
        <x:v>DeepSeek / 豆包 / 元宝 / 千问 各20答；Kimi 11答</x:v>
      </x:c>
      <x:c r="C17" s="1" t="str"/>
      <x:c r="D17" s="1" t="str"/>
    </x:row>
    <x:row r="18" ht="34" customHeight="1">
      <x:c r="A18" s="1" t="str">
        <x:v>限制说明</x:v>
      </x:c>
      <x:c r="B18" s="1" t="str">
        <x:v>Kimi Q12容量限制，Q13—Q20未提交；单次账号快照，非长期趋势</x:v>
      </x:c>
      <x:c r="C18" s="1" t="str"/>
      <x:c r="D18" s="1" t="str"/>
    </x:row>
    <x:row r="19" ht="34" customHeight="1">
      <x:c r="A19" s="1" t="str">
        <x:v>排序口径</x:v>
      </x:c>
      <x:c r="B19" s="1" t="str">
        <x:v>只有按品牌编号的3条回答计入Top3分母；唯一怡可纳明确名次为豆包Q15第8位</x:v>
      </x:c>
      <x:c r="C19" s="1" t="str"/>
      <x:c r="D19" s="1" t="str"/>
    </x:row>
    <x:row r="20" ht="34" customHeight="1">
      <x:c r="A20" s="1" t="str">
        <x:v>来源口径</x:v>
      </x:c>
      <x:c r="B20" s="1" t="str">
        <x:v>链接共同出现不代表页面直接给品牌背书；高频域名不等于AI权重</x:v>
      </x:c>
      <x:c r="C20" s="1" t="str"/>
      <x:c r="D20" s="1" t="str"/>
    </x:row>
  </x:sheetData>
  <x:mergeCells>
    <x:mergeCell ref="A1:H2"/>
  </x:mergeCells>
  <x:pageMargins left="0.7" right="0.7" top="0.75" bottom="0.75" header="0.3" footer="0.3"/>
</x:worksheet>
</file>

<file path=xl/worksheets/sheet2.xml><?xml version="1.0" encoding="utf-8"?>
<x:worksheet xmlns:x="http://schemas.openxmlformats.org/spreadsheetml/2006/main">
  <x:sheetPr>
    <x:tabColor rgb="FFBA643E"/>
  </x:sheetPr>
  <x:sheetViews>
    <x:sheetView showGridLines="0" workbookViewId="0">
      <x:pane ySplit="1" topLeftCell="A2" activePane="bottomLeft" state="frozen"/>
    </x:sheetView>
  </x:sheetViews>
  <x:sheetFormatPr defaultRowHeight="15"/>
  <x:cols>
    <x:col min="1" max="1" width="12" hidden="0" customWidth="1"/>
    <x:col min="2" max="2" width="40" hidden="0" customWidth="1"/>
    <x:col min="3" max="3" width="16" hidden="0" customWidth="1"/>
    <x:col min="4" max="4" width="14" hidden="0" customWidth="1"/>
    <x:col min="5" max="5" width="12" hidden="0" customWidth="1"/>
    <x:col min="6" max="6" width="22" hidden="0" customWidth="1"/>
    <x:col min="7" max="7" width="14" hidden="0" customWidth="1"/>
    <x:col min="8" max="8" width="80" hidden="0" customWidth="1"/>
    <x:col min="9" max="9" width="16" hidden="0" customWidth="1"/>
    <x:col min="10" max="10" width="15" hidden="0" customWidth="1"/>
    <x:col min="11" max="11" width="15" hidden="0" customWidth="1"/>
    <x:col min="12" max="12" width="22" hidden="0" customWidth="1"/>
    <x:col min="13" max="13" width="38" hidden="0" customWidth="1"/>
    <x:col min="14" max="14" width="22" hidden="0" customWidth="1"/>
    <x:col min="15" max="15" width="55" hidden="0" customWidth="1"/>
    <x:col min="16" max="16" width="14" hidden="0" customWidth="1"/>
    <x:col min="17" max="17" width="40" hidden="0" customWidth="1"/>
    <x:col min="18" max="18" width="58" hidden="0" customWidth="1"/>
    <x:col min="19" max="19" width="70" hidden="0" customWidth="1"/>
    <x:col min="20" max="20" width="32" hidden="0" customWidth="1"/>
    <x:col min="21" max="21" width="16" hidden="0" customWidth="1"/>
    <x:col min="22" max="22" width="50" hidden="0" customWidth="1"/>
    <x:col min="23" max="23" width="50" hidden="0" customWidth="1"/>
    <x:col min="24" max="24" width="12" hidden="0" customWidth="1"/>
    <x:col min="25" max="25" width="18" hidden="0" customWidth="1"/>
  </x:cols>
  <x:sheetData>
    <x:row r="1" ht="30" customHeight="1">
      <x:c r="A1" s="3" t="str">
        <x:v>Query ID</x:v>
      </x:c>
      <x:c r="B1" s="3" t="str">
        <x:v>完整问题</x:v>
      </x:c>
      <x:c r="C1" s="3" t="str">
        <x:v>问题分类</x:v>
      </x:c>
      <x:c r="D1" s="3" t="str">
        <x:v>AI平台</x:v>
      </x:c>
      <x:c r="E1" s="3" t="str">
        <x:v>采样类型</x:v>
      </x:c>
      <x:c r="F1" s="3" t="str">
        <x:v>采集时间（新加坡）</x:v>
      </x:c>
      <x:c r="G1" s="3" t="str">
        <x:v>状态</x:v>
      </x:c>
      <x:c r="H1" s="3" t="str">
        <x:v>Raw Answer 全文</x:v>
      </x:c>
      <x:c r="I1" s="3" t="str">
        <x:v>自然提及怡可纳</x:v>
      </x:c>
      <x:c r="J1" s="3" t="str">
        <x:v>Explicit Rank</x:v>
      </x:c>
      <x:c r="K1" s="3" t="str">
        <x:v>List Position</x:v>
      </x:c>
      <x:c r="L1" s="3" t="str">
        <x:v>第一个明确推荐品牌</x:v>
      </x:c>
      <x:c r="M1" s="3" t="str">
        <x:v>所有出现品牌</x:v>
      </x:c>
      <x:c r="N1" s="3" t="str">
        <x:v>推荐结构</x:v>
      </x:c>
      <x:c r="O1" s="3" t="str">
        <x:v>AI对怡可纳描述摘录</x:v>
      </x:c>
      <x:c r="P1" s="3" t="str">
        <x:v>情感状态</x:v>
      </x:c>
      <x:c r="Q1" s="3" t="str">
        <x:v>怡可纳属性</x:v>
      </x:c>
      <x:c r="R1" s="3" t="str">
        <x:v>引用页面标题（换行）</x:v>
      </x:c>
      <x:c r="S1" s="3" t="str">
        <x:v>引用URL（换行）</x:v>
      </x:c>
      <x:c r="T1" s="3" t="str">
        <x:v>引用域名（换行）</x:v>
      </x:c>
      <x:c r="U1" s="3" t="str">
        <x:v>联网/搜索状态</x:v>
      </x:c>
      <x:c r="V1" s="3" t="str">
        <x:v>异常备注</x:v>
      </x:c>
      <x:c r="W1" s="3" t="str">
        <x:v>对话URL</x:v>
      </x:c>
      <x:c r="X1" s="3" t="str">
        <x:v>引用数量</x:v>
      </x:c>
      <x:c r="Y1" s="3" t="str">
        <x:v>品牌明确编号排序</x:v>
      </x:c>
    </x:row>
    <x:row r="2" ht="34" customHeight="1">
      <x:c r="A2" s="5" t="str">
        <x:v>Q1</x:v>
      </x:c>
      <x:c r="B2" s="5" t="str">
        <x:v>酵母蛋白是什么？</x:v>
      </x:c>
      <x:c r="C2" s="5" t="str">
        <x:v>品类认知</x:v>
      </x:c>
      <x:c r="D2" s="5" t="str">
        <x:v>DeepSeek</x:v>
      </x:c>
      <x:c r="E2" s="5" t="str">
        <x:v>自然</x:v>
      </x:c>
      <x:c r="F2" s="5" t="str">
        <x:v>2026/9/28 15:13:16</x:v>
      </x:c>
      <x:c r="G2" s="5" t="str">
        <x:v>有效</x:v>
      </x:c>
      <x:c r="H2" s="5" t="str">
        <x:v>酵母蛋白是一种以酿酒酵母为原料，通过现代生物技术提取的优质微生物蛋白。它被看作是一种可持续的新型替代蛋白，于2023年11月被中国国家卫生健康委批准为新食品原料，成为国内首个获批的微生物蛋白-
1
-
。
🧬 什么是酵母蛋白？
从定义上讲，酵母蛋白是指以酿酒酵母（Saccharomyces cerevisiae）为菌种，经酶解、提取、分离、干燥等工艺制得的食品工业用蛋白产品。它的核心成分是蛋白质，含量通常不低于70%，同时含有膳食纤维、矿物质等。-
1
-
6
🧪 如何生产？
酵母蛋白的生产不依赖大规模农田或畜牧业，而是通过工业发酵实现。主要流程包括：选育高蛋白酵母菌株，进行高密度发酵培养，然后收集菌体，通过去除核酸、细胞破碎、蛋白提取和纯化等步骤，最终得到高纯度的酵母蛋白。这种生产方式效率极高，合成蛋白的效率是动物蛋白的2000倍，大豆蛋白的800倍。-
1
-
6
-
💪 营养特性如何？
酵母蛋白的营养价值很高，具体特点如下-
1
-
2
-
32
-
：
优质完全蛋白：它含有人体必需的9种氨基酸，氨基酸模式匹配联合国粮农组织（FAO）推荐的理想标准。其蛋白质消化率校正氨基酸评分（PDCAAS）可达1.0，属于优质完全蛋白。
富含特定氨基酸：它富含谷物中普遍缺乏的赖氨酸，以及有助于肌肉合成的支链氨基酸（BCAAs）。其必需氨基酸占总氨基酸的比例较高，必需/非必需氨基酸比值可达0.91。
“慢消化”特性：与乳清蛋白等快速蛋白不同，酵母蛋白具有缓慢消化的特点。它在胃中消化较慢，能带来更持久的饱腹感，但在小肠中的最终消化吸收率与乳清蛋白接近-
。
低嘌呤：经脱核酸工艺处理后，酵母蛋白属于低嘌呤蛋白品类-
1
。
🍽️ 有哪些应用？
凭借其营养和加工特性，酵母蛋白的应用领域正在不断拓展-
-
6
：
运动营养：用于蛋白粉、蛋白棒等，帮助肌肉恢复和生长，并延长饱腹感。
普通食品：作为蛋白质强化剂，添加到烘焙产品（面包、饼干）、肉制品和素肉、乳制品（酸奶、冰淇淋）以及面制品中。
特殊医学用途：因其低致敏、易消化的特点，适合用于特殊医疗膳食。
🌍 环保优势
与动物蛋白相比，酵母蛋白的生产具有显著的环境效益。数据显示，生产等量酵母蛋白的碳排放约为动物蛋白的1/20，水耗仅为动物蛋白的1/200，占地面积也远少于动植物蛋白。此外，其生产还能利用糖蜜等工业副产品，形成循环经济模式。-
1
-
2
总的来说，酵母蛋白是一种营养全面、生产高效且环境友好的新型蛋白质来源，为解决未来蛋白质需求提供了一种可持续的方案。</x:v>
      </x:c>
      <x:c r="I2" s="5" t="str">
        <x:v>否</x:v>
      </x:c>
      <x:c r="J2" s="5" t="str"/>
      <x:c r="K2" s="5" t="str"/>
      <x:c r="L2" s="5" t="str"/>
      <x:c r="M2" s="5" t="str"/>
      <x:c r="N2" s="5" t="str">
        <x:v>类型建议或无品牌</x:v>
      </x:c>
      <x:c r="O2" s="5" t="str"/>
      <x:c r="P2" s="5" t="str"/>
      <x:c r="Q2" s="5" t="str"/>
      <x:c r="R2" s="5" t="str">
        <x:v>页面未提供标题（引用编号）
页面未提供标题（引用编号）
页面未提供标题（引用编号）
页面未提供标题（引用编号）</x:v>
      </x:c>
      <x:c r="S2" s="5" t="str">
        <x:v>https://m.163.com/dy/article/KQVH9Q8M0514AUG0.html?spss=adap_pc
https://www.angelyeast.com/Yeastprotein.html
https://cloud.kepuchina.cn/newSearch/imgText?from=1&amp;id=7155007806657773568&amp;is_self=1#1#1#1
https://www.sciencedirect.com/science/article/abs/pii/S0308814624028280?via%3Dihub#1#1</x:v>
      </x:c>
      <x:c r="T2" s="5" t="str">
        <x:v>m.163.com
www.angelyeast.com
cloud.kepuchina.cn
www.sciencedirect.com</x:v>
      </x:c>
      <x:c r="U2" s="5" t="str">
        <x:v>是</x:v>
      </x:c>
      <x:c r="V2" s="5" t="str"/>
      <x:c r="W2" s="5" t="str">
        <x:v>https://chat.deepseek.com/a/chat/s/5ea85fcb-eded-46d9-b182-a6e50ed580a4</x:v>
      </x:c>
      <x:c r="X2" s="5" t="n">
        <x:v>4</x:v>
      </x:c>
      <x:c r="Y2" s="5" t="str">
        <x:v>否</x:v>
      </x:c>
    </x:row>
    <x:row r="3" ht="34" customHeight="1">
      <x:c r="A3" s="5" t="str">
        <x:v>Q2</x:v>
      </x:c>
      <x:c r="B3" s="5" t="str">
        <x:v>酵母蛋白和乳清蛋白有什么区别？</x:v>
      </x:c>
      <x:c r="C3" s="5" t="str">
        <x:v>品类认知</x:v>
      </x:c>
      <x:c r="D3" s="5" t="str">
        <x:v>DeepSeek</x:v>
      </x:c>
      <x:c r="E3" s="5" t="str">
        <x:v>自然</x:v>
      </x:c>
      <x:c r="F3" s="5" t="str">
        <x:v>2026/9/28 15:15:09</x:v>
      </x:c>
      <x:c r="G3" s="5" t="str">
        <x:v>有效</x:v>
      </x:c>
      <x:c r="H3" s="5" t="str">
        <x:v>酵母蛋白和乳清蛋白的核心区别在于来源与消化速度。两者都是优质的完全蛋白，在支持肌肉合成等核心功能上效果相似，但它们的“快慢”特性、适用人群和附加属性有显著不同。
📋 核心区别速览
特性	酵母蛋白 (Yeast Protein)	乳清蛋白 (Whey Protein)
来源	微生物发酵（如酿酒酵母）-
34
	牛奶乳清的提取物-
消化速度	慢速消化，氨基酸释放平缓持久-
2
	快速消化，能迅速提升血液氨基酸水平-
氨基酸谱	全面，富含BCAA和必需氨基酸，蛋氨酸和赖氨酸含量丰富-
34
	全面，亮氨酸含量极高，是触发肌肉合成的关键-
核心优势	天然不含乳糖，低致敏性，环境可持续-
	吸收快，增肌效率证据充分，口感好
主要考量	溶解性稍差，可能有轻微发酵味	含乳糖，乳糖不耐受者可能不适-
🔬 详细对比
营养与氨基酸组成：同为优质蛋白，各有侧重
两者都是含有全部必需氨基酸的优质完全蛋白，营养价值很高-
。在氨基酸谱上，酵母蛋白的组成与乳清蛋白非常接近，尤其在缬氨酸、赖氨酸、苏氨酸等含量上相似-
3
。酵母蛋白的独特之处在于蛋氨酸含量较为丰富，而乳清蛋白的突出优势是亮氨酸含量极高，亮氨酸是启动肌肉蛋白质合成的关键信号分子-
-
34
。
消化与吸收：快与慢的差异
这是两者最显著的区别。
乳清蛋白：属于“快速蛋白”，消化吸收速度快，能在短时间内大幅提高血液中的氨基酸浓度，迅速为肌肉提供合成原料-
。
酵母蛋白：属于“慢速消化蛋白”，其结构使其在胃肠道中分解和释放氨基酸的速度更为平缓持久-
2
。不过，尽管消化速度慢，但研究显示其最终的整体消化率和生物利用度与乳清蛋白相当，都能有效支持全身蛋白质合成-
-
1
。
健康效应与适用场景
支持肌肉合成：在临床研究中，补充酵母蛋白和乳清蛋白对老年人的肌肉量、握力和身体功能的改善效果没有显著差异，两者都能有效支持肌肉健康-
12
。酵母蛋白的慢速特性可能提供更持久的氨基酸供应，适合作为夜间或长时间空腹前的蛋白质来源。
乳糖不耐受者的友好选择：乳清蛋白（尤其是浓缩乳清）含有乳糖，可能导致乳糖不耐受人群出现腹胀、腹泻等不适-
。酵母蛋白天然不含乳糖，且被认定为低致敏性蛋白，为这部分人群提供了一个理想的替代方案-
。
其他考量
可持续性：酵母蛋白通过微生物发酵生产，对环境的影响通常小于需要大量土地和水资源的畜牧业，是一种更具可持续性的蛋白质来源-
。
过敏风险：虽然酵母本身过敏率低，但需注意，如果是对牛奶蛋白过敏（而非乳糖不耐受），部分由酵母表达生产的重组β-乳球蛋白可能仍会引发过敏反应-
。
💎 总结
选择哪一种，主要取决于你的个人需求和身体反应。
如果你追求快速吸收以支持高强度训练后的恢复，且没有乳糖不耐受，乳清蛋白是经典且高效的选择。
如果你有乳糖不耐受，或者偏好更平缓持久的氨基酸供应，并关注可持续性，那么酵母蛋白是一个非常有潜力的替代品。</x:v>
      </x:c>
      <x:c r="I3" s="5" t="str">
        <x:v>否</x:v>
      </x:c>
      <x:c r="J3" s="5" t="str"/>
      <x:c r="K3" s="5" t="str"/>
      <x:c r="L3" s="5" t="str"/>
      <x:c r="M3" s="5" t="str"/>
      <x:c r="N3" s="5" t="str">
        <x:v>类型建议或无品牌</x:v>
      </x:c>
      <x:c r="O3" s="5" t="str"/>
      <x:c r="P3" s="5" t="str"/>
      <x:c r="Q3" s="5" t="str"/>
      <x:c r="R3" s="5" t="str">
        <x:v>页面未提供标题（引用编号）
页面未提供标题（引用编号）
页面未提供标题（引用编号）
页面未提供标题（引用编号）
Yeast protein: In vivo gastrointestinal digestion and biochemical characteristics
页面未提供标题（引用编号）</x:v>
      </x:c>
      <x:c r="S3" s="5" t="str">
        <x:v>https://europepmc.org/article/PPR/PPR1258973#1
https://www.sciencedirect.com/science/article/abs/pii/S0963996923011201#1
https://www.sciencedirect.com/science/article/pii/S0963996925004351?trk=article-ssr-frontend-pulse_little-text-block#3
https://onlinelibrary.wiley.com/doi/full/10.1002/fsn3.71552#1
https://www.sciencedirect.com/science/article/abs/pii/S2212429224009246#1#1#1
https://www.sciencedirect.com/science/article/abs/pii/S1466856424000456?via%3Dihub#1</x:v>
      </x:c>
      <x:c r="T3" s="5" t="str">
        <x:v>europepmc.org
www.sciencedirect.com
www.sciencedirect.com
onlinelibrary.wiley.com
www.sciencedirect.com
www.sciencedirect.com</x:v>
      </x:c>
      <x:c r="U3" s="5" t="str">
        <x:v>是</x:v>
      </x:c>
      <x:c r="V3" s="5" t="str"/>
      <x:c r="W3" s="5" t="str">
        <x:v>https://chat.deepseek.com/a/chat/s/15f29a0c-b1d3-424c-ab4f-167e8f5b1e77</x:v>
      </x:c>
      <x:c r="X3" s="5" t="n">
        <x:v>6</x:v>
      </x:c>
      <x:c r="Y3" s="5" t="str">
        <x:v>否</x:v>
      </x:c>
    </x:row>
    <x:row r="4" ht="34" customHeight="1">
      <x:c r="A4" s="5" t="str">
        <x:v>Q3</x:v>
      </x:c>
      <x:c r="B4" s="5" t="str">
        <x:v>酵母蛋白值得买吗？</x:v>
      </x:c>
      <x:c r="C4" s="5" t="str">
        <x:v>品类认知</x:v>
      </x:c>
      <x:c r="D4" s="5" t="str">
        <x:v>DeepSeek</x:v>
      </x:c>
      <x:c r="E4" s="5" t="str">
        <x:v>自然</x:v>
      </x:c>
      <x:c r="F4" s="5" t="str">
        <x:v>2026/9/28 15:16:29</x:v>
      </x:c>
      <x:c r="G4" s="5" t="str">
        <x:v>有效</x:v>
      </x:c>
      <x:c r="H4" s="5" t="str">
        <x:v>酵母蛋白是否值得买，答案取决于你的核心需求。如果你追求极致的性价比，或存在乳糖不耐受，它非常值得考虑；但如果你对口感有较高要求，或是追求运动后极致快速恢复的健身者，它可能不是最理想的选择。
📊 核心对比：酵母蛋白 vs. 乳清蛋白
为了让你更直观地了解，这里有一份关键维度的对比-
1
-
3
-
39
-
-
70
：
对比维度	酵母蛋白	乳清蛋白
营养评分	PDCAAS（蛋白质消化率校正氨基酸评分）1.0，与乳清蛋白同级；真消化率90%-98%	PDCAAS 1.0；真消化率约90%-92%
核心优势	性价比高，价格约为乳清蛋白的1/2至1/3；无乳糖、低致敏性；低嘌呤，适合关注尿酸人群	吸收快，适合运动后快速补充；口感好，市场认知度高；亮氨酸含量高，对刺激肌肉合成有优势
主要短板	口感普遍不佳，常被形容为“糊糊”、“粉感重”、“有发酵味”；消化速度较慢；市场知名度仍在普及中	价格较高且持续上涨；含乳糖，乳糖不耐受者无法使用
适用场景	日常蛋白质补充、乳糖不耐受者、素食者、追求性价比的消费者、中老年营养补充	运动后快速恢复、对口感要求高的健身人群、没有乳糖不耐受问题者
👍 值得买的理由：为什么它正成为热门“平替”
突出的性价比：这是酵母蛋白最核心的吸引力。受全球乳清蛋白原料价格大幅上涨影响，酵母蛋白的价格优势被进一步放大。同规格产品，其终端售价普遍仅为乳清蛋白的三分之一到一半。以每日30g蛋白质的补充量计算，酵母蛋白的日均成本可能仅在1.7元至3元之间。-
70
适合特定人群：它天然不含乳糖和麸质，且属于低致敏性蛋白，非常适合乳糖不耐受、对牛奶蛋白过敏或素食的人群。同时，经过脱核酸工艺处理后，其嘌呤含量很低，多项研究表明长期摄入对血尿酸无显著影响，对关注嘌呤摄入的人群也较为友好。-
2
-
3
营养不打折：从营养学角度看，酵母蛋白是完全蛋白，含有人体所需的全部9种必需氨基酸，其PDCAAS评分达到满分1.0，这意味着在满足人体蛋白质需求方面，它的质量与乳清蛋白是同一梯队的。一些临床研究也表明，它在支持整体蛋白质合成方面与乳清蛋白效果相似。-
3
-
13
👎 需要谨慎的理由：你可能不习惯的“硬伤”
口感是最大障碍：这是绝大多数用户反馈的核心问题。酵母蛋白的溶解度较差，冲泡后常有粉感重、口感像“糊糊” 的问题，且带有一种独特的发酵味或生物味，不像乳清蛋白那样有清新的奶香。许多消费者因无法接受口感而放弃，健身教练也证实了这一点。-
1
-
消化速度较慢：酵母蛋白属于“慢消化蛋白”。这对追求持续饱腹感或平稳释放氨基酸的人来说是优点，但如果你需要运动后快速补充蛋白质来启动肌肉修复，它的速度就不如乳清蛋白了。-
1
-
产品选择需留心：市场上有部分产品存在“挂羊头卖狗肉”的现象，标称是酵母蛋白粉，但实际酵母蛋白添加量可能很低，主要成分仍是大豆分离蛋白。购买时务必仔细查看配料表，确认“酵母蛋白”是主要成分。-
70
💎 总结与购买建议
你可以根据自己的情况对号入座-
-
1
-
-
70
：
推荐购买，如果你：
预算有限，寻找乳清蛋白的性价比替代品。
有乳糖不耐受或对牛奶蛋白过敏。
是素食者。
需要一款慢速释放的蛋白质来增加饱腹感或作为代餐。
用于中老年日常营养补充，而非追求运动后的极致快速恢复。
不推荐购买，如果你：
对口感味道非常挑剔，无法接受任何“奇怪”的味道。
是严肃的健身/运动员，训练后需要快速吸收的蛋白质来最大化肌肉合成。
预算充足，且没有乳糖不耐受问题，那么乳清蛋白依然是体验和证据最成熟的选择。
如果决定尝试，可以从安琪纽特（行业龙头）或一些用户反馈中提及的赛霸、京东京造等品牌入手，并优先选择绿豆味等评价相对较好的口味，同时注意核对配料表-
-
66
。</x:v>
      </x:c>
      <x:c r="I4" s="5" t="str">
        <x:v>否</x:v>
      </x:c>
      <x:c r="J4" s="5" t="str"/>
      <x:c r="K4" s="5" t="str"/>
      <x:c r="L4" s="5" t="str"/>
      <x:c r="M4" s="5" t="str">
        <x:v>安琪纽特、赛霸/小赛同学、京东京造</x:v>
      </x:c>
      <x:c r="N4" s="5" t="str">
        <x:v>品牌提及/类型说明</x:v>
      </x:c>
      <x:c r="O4" s="5" t="str"/>
      <x:c r="P4" s="5" t="str"/>
      <x:c r="Q4" s="5" t="str"/>
      <x:c r="R4" s="5" t="str">
        <x:v>多品牌蛋白粉每桶涨价近百元，乳清蛋白成本翻倍，消费者寻找平替 - 多品牌蛋白粉每桶涨价近百元，乳清蛋白成本翻倍，消费者寻找平替
安琪酵母(600298)，创新健康生活
页面未提供标题（引用编号）
乳清蛋白涨疯了？酵母蛋白成平价新宠，实测对比谁更值_健体强身_什么值得买
酵母蛋白：低嘌呤的高品质蛋白选择
Yeast Protein vs Whey Protein: Is one really better than the other?
我真的翻完了50篇帖子、1163条评论：20款酵母蛋白粉真实排名 - 今日头条</x:v>
      </x:c>
      <x:c r="S4" s="5" t="str">
        <x:v>https://zhuanlan.zhihu.com/p/2044740073569179012?utm_medium=openapi_platform&amp;utm_source=e10c3ad29e50#1
https://www.angelyeast.com/info/1755.html
https://ye.angelyeast.com/contents/3957/83018.html
https://post.smzdm.com/p/a5rve8g3/#1#1
https://cloud.kepuchina.cn/h5/detail?id=7385550968292503552
https://www.thip.media/questions-medical-health/yeast-protein-vs-whey-protein-is-one-really-better-than-the-other/149398/#1#1
https://m.toutiao.com/article/7668163446449504803/?upstream_biz=VolcEngine&amp;source=m_redirect&amp;wid=1788778015047&amp;upstream_biz=toutiao_pc&amp;source=m_redirect&amp;upstream_biz=toutiao_pc#1</x:v>
      </x:c>
      <x:c r="T4" s="5" t="str">
        <x:v>zhuanlan.zhihu.com
www.angelyeast.com
ye.angelyeast.com
post.smzdm.com
cloud.kepuchina.cn
www.thip.media
m.toutiao.com</x:v>
      </x:c>
      <x:c r="U4" s="5" t="str">
        <x:v>是</x:v>
      </x:c>
      <x:c r="V4" s="5" t="str"/>
      <x:c r="W4" s="5" t="str">
        <x:v>https://chat.deepseek.com/a/chat/s/bc2b0b27-89ee-4e08-8ade-88d95f9ad102</x:v>
      </x:c>
      <x:c r="X4" s="5" t="n">
        <x:v>7</x:v>
      </x:c>
      <x:c r="Y4" s="5" t="str">
        <x:v>否</x:v>
      </x:c>
    </x:row>
    <x:row r="5" ht="34" customHeight="1">
      <x:c r="A5" s="5" t="str">
        <x:v>Q4</x:v>
      </x:c>
      <x:c r="B5" s="5" t="str">
        <x:v>酵母蛋白有哪些品牌？</x:v>
      </x:c>
      <x:c r="C5" s="5" t="str">
        <x:v>品类认知</x:v>
      </x:c>
      <x:c r="D5" s="5" t="str">
        <x:v>DeepSeek</x:v>
      </x:c>
      <x:c r="E5" s="5" t="str">
        <x:v>自然</x:v>
      </x:c>
      <x:c r="F5" s="5" t="str">
        <x:v>2026/9/28 15:22:06</x:v>
      </x:c>
      <x:c r="G5" s="5" t="str">
        <x:v>有效</x:v>
      </x:c>
      <x:c r="H5" s="5" t="str">
        <x:v>酵母蛋白的品牌可以从原料供应商和终端消费品牌两个层面来看，前者是产业链上游的核心企业，后者则是你在市面上能直接买到的产品。
🧬 主要原料供应商品牌
这些企业是酵母蛋白原料的研发和生产方，很多终端品牌的产品都基于它们的原料。
安琪酵母 (Angel Yeast) / AnPro®：来自中国，是全球酵母蛋白领域的领导者。其 AnPro® 是国内首个获批的微生物蛋白新食品原料（2023年获批），蛋白含量高，已出口40余国-
3
。
乐斯福 (Lesaffre) / Biospringer：来自法国，是全球酵母行业三大巨头之一。Biospringer 是其旗下专注于酵母抽提物及衍生品的专业品牌-
3
。
英联马利 (AB Mauri)：来自英国，同样是全球酵母行业三大巨头之一，其业务包括酵母蛋白相关的酵母衍生品-
3
。
Van Wankum Ingredients：来自荷兰，是全球酵母蛋白市场的重要参与者，在食品配料领域有一定影响力-
3
。
Titan Biotech Limited：来自印度，是一家在酵母蛋白及发酵营养物领域有业务布局的生物技术企业-
3
。
此外，国内市场还有一些其他生产企业，如中农弘科、珍奥集团、银琪生物、宜兴市江山生物科技有限公司、天香苑、唐山拓普生物科技有限公司等-
27
。
🛒 终端消费品牌（可购买的产品）
这些品牌推出了含有酵母蛋白的蛋白粉、零食或饮料，你可以直接买到。
国内品牌
安琪纽特：安琪酵母旗下品牌，产品线最丰富，包括酵母蛋白粉、酵母蛋白固体饮料等，其蛋白粉还曾获“荆楚放心礼”认定-
-
。
ffit8：推出了添加酵母蛋白的牛轧糖蛋白棒，是国内较早布局该品类的品牌之一-
1
。
赛霸 (CPTKING) / 小赛同学：专业运动营养品牌，已与安琪酵母达成战略合作，推出了益生菌酵母蛋白粉等产品-
。
怡可纳：主打性价比的酵母蛋白粉品牌，常见口味有绿豆沙味，在电商平台有较高讨论度-
。
盖特 (GAT) / 概特：有酵母蛋白粉产品，其2.0版本采用了安琪的酵母原料，蛋白含量较高-
。
BANNY DEER (BD)：该品牌的酵母蛋白粉主打平价路线，蛋白含量约76%-
。
天使美：推出了酵母蛋白代餐奶昔、控卡餐等产品，主打饱腹感与蛋白质补充-
。
海外品牌
好丽友 (Orion)：韩国零食巨头，推出了 “Dr. You”酵母蛋白薯片，每包提供约12克蛋白质-
18
。
森永 (Morinaga)：日本食品企业，推出了酵母蛋白蛋白棒等产品-
1
。
Swanson：美国膳食补充剂品牌，推出了一款仅以AngeoPro（安琪酵母蛋白的海外品牌名）为蛋白质来源的蛋白粉-
19
。
RNWY：美国品牌，其 Complete Protein 产品含有74.4%的酵母蛋白，主打素食完全蛋白-
。
Enkioo：波兰品牌，推出100%酵母蛋白产品，强调纯素、高纤维与可持续-
。
iSDG：日本品牌，将酵母蛋白应用于其代餐粉产品中-
19
。
如果你想了解特定类型（比如蛋白粉或零食）的品牌，可以再告诉我，我帮你细看看～</x:v>
      </x:c>
      <x:c r="I5" s="5" t="str">
        <x:v>是</x:v>
      </x:c>
      <x:c r="J5" s="5" t="str"/>
      <x:c r="K5" s="5" t="n">
        <x:v>4</x:v>
      </x:c>
      <x:c r="L5" s="5" t="str"/>
      <x:c r="M5" s="5" t="str">
        <x:v>怡可纳、安琪纽特、赛霸/小赛同学、概特/盖特、BD能量、天使美、ffit8</x:v>
      </x:c>
      <x:c r="N5" s="5" t="str">
        <x:v>顺序列举</x:v>
      </x:c>
      <x:c r="O5" s="5" t="str">
        <x:v>) / 小赛同学：专业运动营养品牌，已与安琪酵母达成战略合作，推出了益生菌酵母蛋白粉等产品- 。 怡可纳：主打性价比的酵母蛋白粉品牌，常见口味有绿豆沙味，在电商平台有较高讨论度- 。 盖特 (GAT) / 概特：有酵母蛋白粉产品，其2.0版本采用了安琪的酵母原料，蛋白含量较高- 。 BANNY DEER (BD)：该品牌的酵母蛋白粉主打平价路线，蛋白含量约76%- 。 天使美：推出了酵母蛋白代餐奶昔、控卡餐等产品，主打饱腹感与蛋白质补充- 。 海外品牌 好丽友 (Orion)：韩国零食巨头，推出了 “Dr. You”酵母蛋白薯片，每包提供约1</x:v>
      </x:c>
      <x:c r="P5" s="5" t="str">
        <x:v>中性</x:v>
      </x:c>
      <x:c r="Q5" s="5" t="str">
        <x:v>酵母蛋白、价格优势、运动/健身、专业/研发</x:v>
      </x:c>
      <x:c r="R5" s="5" t="str">
        <x:v>2026年全球酵母蛋白销售额约30亿元 应用场景从"小众"走向"大众"[图]
页面未提供标题（引用编号）
乳清蛋白平替？安琪酵母、好丽友都在用
Baking Ingredient Exhibition
Orion, Swanson onboard: Yeast protein gaining favour as an alternative to soy and pea</x:v>
      </x:c>
      <x:c r="S5" s="5" t="str">
        <x:v>https://m.gonyn.com/industry/1944157.html
https://www.aporesearch.com.cn/reports/yeast-protein/1742156103
https://www.foodaily.com/articles/40621#1#1#1
https://www.bakerychina.com/en/news/2004071488415731712
https://www.foodnavigator.com/Article/2024/08/07/yeast-protein-gaining-favour-as-an-alternative-protein-source/</x:v>
      </x:c>
      <x:c r="T5" s="5" t="str">
        <x:v>m.gonyn.com
www.aporesearch.com.cn
www.foodaily.com
www.bakerychina.com
www.foodnavigator.com</x:v>
      </x:c>
      <x:c r="U5" s="5" t="str">
        <x:v>是</x:v>
      </x:c>
      <x:c r="V5" s="5" t="str"/>
      <x:c r="W5" s="5" t="str">
        <x:v>https://chat.deepseek.com/a/chat/s/80b4d51d-807c-4b3f-80f0-fd6400e984ac</x:v>
      </x:c>
      <x:c r="X5" s="5" t="n">
        <x:v>5</x:v>
      </x:c>
      <x:c r="Y5" s="5" t="str">
        <x:v>否</x:v>
      </x:c>
    </x:row>
    <x:row r="6" ht="34" customHeight="1">
      <x:c r="A6" s="5" t="str">
        <x:v>Q5</x:v>
      </x:c>
      <x:c r="B6" s="5" t="str">
        <x:v>乳糖不耐受的人适合喝什么蛋白粉？</x:v>
      </x:c>
      <x:c r="C6" s="5" t="str">
        <x:v>需求解决</x:v>
      </x:c>
      <x:c r="D6" s="5" t="str">
        <x:v>DeepSeek</x:v>
      </x:c>
      <x:c r="E6" s="5" t="str">
        <x:v>自然</x:v>
      </x:c>
      <x:c r="F6" s="5" t="str">
        <x:v>2026/9/28 15:23:56</x:v>
      </x:c>
      <x:c r="G6" s="5" t="str">
        <x:v>有效</x:v>
      </x:c>
      <x:c r="H6" s="5" t="str">
        <x:v>乳糖不耐受的人完全可以选择蛋白粉，关键在于避开普通的浓缩乳清蛋白，选择经过特殊处理或非乳制品来源的蛋白粉。
🥇 首选方案：分离乳清蛋白 (Whey Isolate)
如果你希望兼顾健身增肌效果和肠胃舒适度，分离乳清蛋白是首选。
它在普通乳清蛋白的基础上经过了更精细的过滤工艺，去除了绝大部分的乳糖和脂肪。其蛋白质含量通常高达90%以上，而乳糖含量极低，对乳糖不耐受者非常友好。-
-
1
💡 选购时可关注的产品示例：Dymatize ISO-100、Optimum Nutrition Gold Standard 100% Isolate、MyProtein 分离乳清蛋白等，都是明确标注低乳糖或不含乳糖的常见选择-
。
🌿 备选方案：植物蛋白粉
如果你是素食者，或者对乳制品完全不能耐受，植物蛋白粉是绝佳选择。它们天然不含乳糖，且通常低致敏。-
-
1
你可以根据需求选择不同来源：
大豆蛋白：植物蛋白中唯一的优质蛋白，氨基酸全面，吸收率较好-
1
。
豌豆蛋白：易消化，且非主要过敏原，适合敏感体质-
1
。
大米蛋白：低过敏性，对肠胃非常温和-
。
混合植物蛋白：由多种植物蛋白混合，可以弥补单一植物蛋白的氨基酸短板，营养更全面-
1
。
💡 选购时可关注的产品示例：Science in Sport (SIS) 的 REGO 恢复蛋白粉（大豆蛋白基底）、NOW 豌豆分离蛋白粉、乐维根 (THE VEGAN) 植物蛋白粉等，都明确适合乳糖不耐人群-
-
2
-
。
🥚 其他值得考虑的选项
水解乳清蛋白 (Whey Hydrolysate)：这是另一种乳清蛋白，经过水解工艺，蛋白质被分解成更小的肽段，吸收速度极快，且乳糖含量也极低，甚至常被标注为“无乳糖”。如果你的肠胃非常敏感，或追求最快吸收，这是一个高端选择。-
蛋清蛋白粉 (Egg White Protein)：来源于鸡蛋，完全不含乳糖，且蛋白质利用率极高（NPU可达97.5%），氨基酸评分满分。对乳制品和植物蛋白都敏感的人，这是一个很好的替代方案。-
10
-
📝 选购与使用小贴士
除了看蛋白来源，以下几点也能帮你选到更合适的产品：
避开敏感成分：留意配料表，尽量避开糖醇（如山梨糖醇、木糖醇）和增稠剂（如黄原胶、瓜尔胶），它们可能引起部分人肠胃胀气。甜味剂可选甜菊糖苷或罗汉果甜苷。-
10
从小剂量开始：初次尝试新蛋白粉时，建议先服用半份或更少，观察肠胃反应-
10
。
注意冲泡方式：用水或无乳糖牛奶冲泡，可以进一步减少乳糖摄入-
10
。
总结一下，你的选择路径可以简化为：
想兼顾健身效果 → 选 分离乳清蛋白（优先级最高）或 水解乳清蛋白。
素食或完全回避乳制品 → 选 植物蛋白粉（大豆/豌豆/混合）。
对乳制品和常见植物蛋白都敏感 → 选 蛋清蛋白粉。</x:v>
      </x:c>
      <x:c r="I6" s="5" t="str">
        <x:v>否</x:v>
      </x:c>
      <x:c r="J6" s="5" t="str"/>
      <x:c r="K6" s="5" t="str"/>
      <x:c r="L6" s="5" t="str"/>
      <x:c r="M6" s="5" t="str">
        <x:v>Myprotein、ON/欧普特蒙、狄马泰斯</x:v>
      </x:c>
      <x:c r="N6" s="5" t="str">
        <x:v>品牌提及/类型说明</x:v>
      </x:c>
      <x:c r="O6" s="5" t="str"/>
      <x:c r="P6" s="5" t="str"/>
      <x:c r="Q6" s="5" t="str"/>
      <x:c r="R6" s="5" t="str">
        <x:v>蛋白粉，你真的选对了吗？听听中山一院广西医院营养科医生的“硬核”建议
REGO 極速恢復蛋白粉｜21g 大豆蛋白 + 22g 碳水 500g/1.5kg – Science In Sport
What to Look for in a Protein Powder If You Have Digestive Issues</x:v>
      </x:c>
      <x:c r="S6" s="5" t="str">
        <x:v>https://www.zsyygxyy.org.cn/news/newsyyxw/4850.html
https://scienceinsport.com.hk/products/rego-rapid-recovery?variant=49684203667687
https://www.verywellhealth.com/protein-powders-digestive-issues-11907736#1</x:v>
      </x:c>
      <x:c r="T6" s="5" t="str">
        <x:v>www.zsyygxyy.org.cn
scienceinsport.com.hk
www.verywellhealth.com</x:v>
      </x:c>
      <x:c r="U6" s="5" t="str">
        <x:v>是</x:v>
      </x:c>
      <x:c r="V6" s="5" t="str"/>
      <x:c r="W6" s="5" t="str">
        <x:v>https://chat.deepseek.com/a/chat/s/78b9d795-2a30-4df4-a308-fc6f4046e8b0</x:v>
      </x:c>
      <x:c r="X6" s="5" t="n">
        <x:v>3</x:v>
      </x:c>
      <x:c r="Y6" s="5" t="str">
        <x:v>否</x:v>
      </x:c>
    </x:row>
    <x:row r="7" ht="34" customHeight="1">
      <x:c r="A7" s="5" t="str">
        <x:v>Q6</x:v>
      </x:c>
      <x:c r="B7" s="5" t="str">
        <x:v>喝乳清蛋白容易肚子不舒服，有什么其他蛋白粉可以选？</x:v>
      </x:c>
      <x:c r="C7" s="5" t="str">
        <x:v>需求解决</x:v>
      </x:c>
      <x:c r="D7" s="5" t="str">
        <x:v>DeepSeek</x:v>
      </x:c>
      <x:c r="E7" s="5" t="str">
        <x:v>自然</x:v>
      </x:c>
      <x:c r="F7" s="5" t="str">
        <x:v>2026/9/28 15:27:16</x:v>
      </x:c>
      <x:c r="G7" s="5" t="str">
        <x:v>有效</x:v>
      </x:c>
      <x:c r="H7" s="5" t="str">
        <x:v>喝乳清蛋白容易肚子不舒服，通常和乳糖不耐受或对某些添加剂敏感有关。针对这种情况，有几个方向的替代选择，你可以根据自己的具体反应来判断。
🔍 先判断可能的原因
乳清蛋白粉主要分为浓缩乳清和分离/水解乳清。
浓缩乳清：乳糖含量相对较高（约70-80%是蛋白质，其余包含乳糖、脂肪等），如果你有乳糖不耐受，喝它就容易出现腹胀、排气甚至腹泻-
2
。
分离/水解乳清：经过更精细的加工，乳糖含量极低（蛋白质含量可达90%以上），水解乳清还预先将蛋白质分解成小分子肽，对肠胃更友好-
-
2
。
此外，一些蛋白粉中添加的糖醇（如山梨糖醇、木糖醇）或增稠剂（如瓜尔胶、黄原胶）也可能在敏感人群中引起胀气-
1
。
📋 替代蛋白粉选择参考
你可以根据自己对乳糖或添加剂的敏感程度，参考以下选择：
1. 如果你主要是乳糖不耐受，但仍想喝乳清类
分离乳清蛋白：乳糖含量极低，是肠胃敏感人群的首选乳清类型-
-
11
。
水解乳清蛋白：蛋白质已被预分解，更容易消化吸收，适合消化不良的人，但价格通常更高-
。
2. 如果对乳制品完全不耐受，或想尝试非乳清蛋白
鸡蛋蛋白粉：源自蛋清，不含乳糖，对乳制品敏感的人是很好的替代品-
-
1
。
豌豆蛋白粉：低致敏、易消化，是常见的植物蛋白替代品。不过，豌豆蛋白含有一些可发酵的短链碳水化合物，少数肠胃特别敏感的人仍可能感到胀气，建议从少量开始尝试-
。
大米蛋白粉：低致敏且低FODMAP（即不易发酵产气的短链碳水化合物），通常与豌豆蛋白混合以补全氨基酸谱，对敏感肠胃比较友好-
-
2
。
混合植物蛋白：将豌豆、大米等植物蛋白按比例混合，使氨基酸组成更全面，适合严格素食者或对多种单一蛋白源都敏感的人-
11
。
胶原蛋白肽：严格来说它是不完全蛋白质，但分子小、对肠胃非常温和，适合消化功能很弱的人作为补充-
。
💡 挑选和饮用时的注意事项
除了换蛋白粉类型，这几个细节也能帮你减少不适：
看配料表，避开“嫌疑成分”：尽量选择配料表简短、无糖醇（如麦芽糖醇、山梨糖醇）、无增稠胶体（如瓜尔胶、黄原胶）、无添加菊粉的产品-
1
-
3
。
从少量开始，观察反应：初次尝试新蛋白粉时，可以先从半份的量开始，看肠胃是否适应，再逐步增加到正常用量-
1
。
注意冲泡方式：用水或无乳糖牛奶冲泡，比用普通牛奶更易消化。喝的时候慢一点，避免吞入过多空气-
1
-
2
。
如果更换了蛋白粉种类并调整了饮用方式后，肠胃不适仍然持续，可能涉及其他消化问题（如肠易激综合征），建议咨询医生或临床营养师进一步评估-
2
。
你可以先回想一下，之前喝的是哪种乳清蛋白（浓缩、分离还是水解）？不适感主要是胀气、腹泻还是其他？告诉我这些细节，我能帮你更具体地缩小选择范围。</x:v>
      </x:c>
      <x:c r="I7" s="5" t="str">
        <x:v>否</x:v>
      </x:c>
      <x:c r="J7" s="5" t="str"/>
      <x:c r="K7" s="5" t="str"/>
      <x:c r="L7" s="5" t="str"/>
      <x:c r="M7" s="5" t="str"/>
      <x:c r="N7" s="5" t="str">
        <x:v>类型建议或无品牌</x:v>
      </x:c>
      <x:c r="O7" s="5" t="str"/>
      <x:c r="P7" s="5" t="str"/>
      <x:c r="Q7" s="5" t="str"/>
      <x:c r="R7" s="5" t="str">
        <x:v>Stop Protein Bloating Now: Whey vs Plant? [Doctor's Note] | Ubie Doctor's Note
What to Look for in a Protein Powder If You Have Digestive Issues
蛋白粉，你真的选对了吗？听听中山一院广西医院营养科医生的“硬核”建议
Stop Protein Shake Bloat Now: Best Options &amp; Gut Health Steps | Ubie Doctor's Note - Published on: 3/18/2026</x:v>
      </x:c>
      <x:c r="S7" s="5" t="str">
        <x:v>https://ubiehealth.com/doctors-note/whey-vs-plant-protein-shakes-bloat-reduce-guide-5691q3
https://www.verywellhealth.com/protein-powders-digestive-issues-11907736#1
https://www.zsyygxyy.org.cn/news/newsyyxw/4850.html
https://ubiehealth.com/doctors-note/best-protein-powder-sensitive-stomach-gut-bloat-9232e5#1</x:v>
      </x:c>
      <x:c r="T7" s="5" t="str">
        <x:v>ubiehealth.com
www.verywellhealth.com
www.zsyygxyy.org.cn
ubiehealth.com</x:v>
      </x:c>
      <x:c r="U7" s="5" t="str">
        <x:v>是</x:v>
      </x:c>
      <x:c r="V7" s="5" t="str"/>
      <x:c r="W7" s="5" t="str">
        <x:v>https://chat.deepseek.com/a/chat/s/f6a609d4-99f4-48f2-9377-c140562fbd00</x:v>
      </x:c>
      <x:c r="X7" s="5" t="n">
        <x:v>4</x:v>
      </x:c>
      <x:c r="Y7" s="5" t="str">
        <x:v>否</x:v>
      </x:c>
    </x:row>
    <x:row r="8" ht="34" customHeight="1">
      <x:c r="A8" s="5" t="str">
        <x:v>Q7</x:v>
      </x:c>
      <x:c r="B8" s="5" t="str">
        <x:v>健身新手应该买什么蛋白粉？</x:v>
      </x:c>
      <x:c r="C8" s="5" t="str">
        <x:v>需求解决</x:v>
      </x:c>
      <x:c r="D8" s="5" t="str">
        <x:v>DeepSeek</x:v>
      </x:c>
      <x:c r="E8" s="5" t="str">
        <x:v>自然</x:v>
      </x:c>
      <x:c r="F8" s="5" t="str">
        <x:v>2026/9/28 15:30:26</x:v>
      </x:c>
      <x:c r="G8" s="5" t="str">
        <x:v>有效</x:v>
      </x:c>
      <x:c r="H8" s="5" t="str">
        <x:v>健身新手选第一罐蛋白粉，核心原则是：先看身体耐受度，再定预算，最后选口味。不用一开始就追求“最好”的，选一款能让你轻松坚持下去的，就是最适合你的。
🥛 第一步：根据身体情况，选对蛋白粉类型
对于大多数健身新手，乳清蛋白是首选，因为它吸收快、氨基酸全面，对增肌很有帮助-
1
。乳清蛋白主要分为三种，你可以根据以下情况来选择-
1
-
33
：
类型	蛋白质纯度	特点	适合人群
浓缩乳清蛋白 (WPC)	约 70%-80%	性价比最高，保留少量乳糖和脂肪，口感通常更好	没有乳糖不耐受、预算有限的普通健身者
分离乳清蛋白 (WPI)	90% 以上	乳糖和脂肪含量极低，纯度高，吸收快	乳糖不耐受（喝牛奶会胀气、拉肚子）、严格控脂或肠胃敏感者
水解乳清蛋白 (WPH)	80% 以上	经过预消化处理，吸收最快，但价格也最高，可能略带苦味	肠胃吸收功能特别弱，或对乳蛋白过敏的人群
如果你不确定自己是否乳糖不耐受，可以先从分离乳清蛋白开始，它是更“安全”的选择，不容易引起肠胃不适。如果你是素食者，或者对乳制品过敏，可以选择大豆蛋白、豌豆蛋白或混合植物蛋白。-
1
📝 第二步：学会看标签，避开常见“坑”
选好了类型，接下来就是对比具体产品。记住以下几点，能帮你少走弯路-
1
：
看蛋白质含量：优选每100克产品中蛋白质含量高于80克的。同时，留意碳水和脂肪的含量，尤其是减脂期，越低越好。
看配料表：配料表是按含量从高到低排列的。蛋白质来源应该排在第一位。尽量避开添加了大量糖、麦芽糊精、香精和色素的产品。
算“蛋白价比”：不要只看总价，可以计算每克蛋白质的成本。用产品总价除以总蛋白质克数，就能得出哪个更划算。
先买小包装试口味：蛋白粉需要长期喝，口味和溶解性非常重要。建议先买小包装或试用装，确认自己能接受再入手大罐，避免浪费。
💰 第三步：新手品牌与预算参考
市面上的品牌很多，这里按不同需求给你一些参考，价格仅为大致区间-
3
-
26
：
品牌/产品	路线特点	参考价格区间	适合人群
诺特兰德 (Nutrend)	标准分离乳清路线，价格亲民，口味选择多	入门级 (100-200元)	预算有限，想先低成本尝试的新手
汤臣倍健	浓缩乳清+大豆蛋白的双蛋白路线，口感温和	入门级 (100-200元)	肠胃对乳糖耐受度一般，想先试试看的新手
Myprotein Impact	浓缩乳清，蛋白质含量约80%，口味极其丰富，性价比高	进阶级 (200-350元)	追求性价比和口味多样性的新手
Optimum Nutrition (ON) 金标	全球热门款，浓缩乳清为主，配方稳定，溶解性好	进阶级 (200-350元)	追求经典、口感好，预算稍充足的新手
肌肉科技 (MuscleTech) Nitro-Tech	蛋白+肌酸复合路线，省去单独买肌酸的步骤	进阶级 (200-350元)	有增肌和提升力量双重需求的新手
💡 补充提醒：关于摄入量
蛋白粉是膳食补充剂，不能替代正常饮食。对于健身人群，建议每日蛋白质摄入量约为每公斤体重1.6-2.2克。一般建议在运动后30分钟内补充20-40克蛋白质，效果较好。你可以先计算自己日常饮食中的蛋白质摄入量，再用蛋白粉来填补缺口。-
-
1
-
19
如果你有乳糖不耐受、素食等特殊情况，或者已经选好了类型但还在几个品牌间犹豫，可以告诉我你的具体预算和偏好，我帮你再细看看～</x:v>
      </x:c>
      <x:c r="I8" s="5" t="str">
        <x:v>否</x:v>
      </x:c>
      <x:c r="J8" s="5" t="str"/>
      <x:c r="K8" s="5" t="str"/>
      <x:c r="L8" s="5" t="str"/>
      <x:c r="M8" s="5" t="str">
        <x:v>诺特兰德、汤臣倍健、Myprotein、ON/欧普特蒙、肌肉科技</x:v>
      </x:c>
      <x:c r="N8" s="5" t="str">
        <x:v>品牌提及/类型说明</x:v>
      </x:c>
      <x:c r="O8" s="5" t="str"/>
      <x:c r="P8" s="5" t="str"/>
      <x:c r="Q8" s="5" t="str"/>
      <x:c r="R8" s="5" t="str">
        <x:v>蛋白粉，你真的选对了吗？听听中山一院广西医院营养科医生的“硬核”建议
页面未提供标题（引用编号）
健身新手补充蛋白，先把4种乳清蛋白粉路线看懂再定品牌_功能营养_什么值得买
页面未提供标题（引用编号）
页面未提供标题（引用编号）</x:v>
      </x:c>
      <x:c r="S8" s="5" t="str">
        <x:v>http://www.zsyygxyy.org.cn/department/yykksxw/5861.html
https://www.womenshealthmag.com/tw/food-nutrition/diet/g70085260/whey-protein/#1#1
https://post.smzdm.com/p/a6z0g4pg/
http://news.miaoshou.com/news/Bnjm5DOdbg61po2W.html#1
http://news.miaoshou.com/news/6z34m1nq8daDgNrx.html#1</x:v>
      </x:c>
      <x:c r="T8" s="5" t="str">
        <x:v>www.zsyygxyy.org.cn
www.womenshealthmag.com
post.smzdm.com
news.miaoshou.com
news.miaoshou.com</x:v>
      </x:c>
      <x:c r="U8" s="5" t="str">
        <x:v>是</x:v>
      </x:c>
      <x:c r="V8" s="5" t="str"/>
      <x:c r="W8" s="5" t="str">
        <x:v>https://chat.deepseek.com/a/chat/s/11efbe4e-ceec-4858-8914-92eb1d813ec0</x:v>
      </x:c>
      <x:c r="X8" s="5" t="n">
        <x:v>5</x:v>
      </x:c>
      <x:c r="Y8" s="5" t="str">
        <x:v>否</x:v>
      </x:c>
    </x:row>
    <x:row r="9" ht="34" customHeight="1">
      <x:c r="A9" s="5" t="str">
        <x:v>Q8</x:v>
      </x:c>
      <x:c r="B9" s="5" t="str">
        <x:v>增肌训练喝什么蛋白粉比较合适？</x:v>
      </x:c>
      <x:c r="C9" s="5" t="str">
        <x:v>需求解决</x:v>
      </x:c>
      <x:c r="D9" s="5" t="str">
        <x:v>DeepSeek</x:v>
      </x:c>
      <x:c r="E9" s="5" t="str">
        <x:v>自然</x:v>
      </x:c>
      <x:c r="F9" s="5" t="str">
        <x:v>2026/9/28 15:34:10</x:v>
      </x:c>
      <x:c r="G9" s="5" t="str">
        <x:v>有效</x:v>
      </x:c>
      <x:c r="H9" s="5" t="str">
        <x:v>增肌训练选择蛋白粉，首选乳清蛋白（Whey Protein），它在吸收速度、氨基酸配比和促肌肉合成方面综合表现最优-
9
。具体选哪种，取决于你的肠胃耐受度、预算和训练目标。
乳清蛋白的三种类型怎么选？
乳清蛋白根据加工工艺分为三类，增肌效果核心差异不大，主要区别在纯度和吸收速度-
。
浓缩乳清蛋白（WPC）
蛋白质纯度：约 70%–80%
特点：保留少量乳糖和脂肪，性价比最高
适合人群：大多数增肌人群，预算有限时的首选
分离乳清蛋白（WPI）
蛋白质纯度：90%以上
特点：几乎不含乳糖和脂肪，吸收更快
适合人群：乳糖不耐受者、严格控脂期人群
水解乳清蛋白（WPH）
蛋白质纯度：80%以上
特点：蛋白质已预分解，吸收速度最快，价格最高
适合人群：肠胃敏感者，或追求极致吸收效率的进阶训练者
关键提示：研究显示，分离乳清与浓缩乳清在改善肌肉大小与力量方面并无显著差异。因此，如果你没有乳糖不耐受问题，选择性价比更高的浓缩乳清蛋白即可，不必为更高的纯度支付额外溢价-
。
特殊情况的替代选择
如果你是乳糖不耐受或素食者：
分离乳清蛋白：乳糖含量极低，是乳糖不耐受增肌者的直接替代方案-
9
。
植物蛋白（大豆/豌豆/混合植物蛋白）：长期研究显示，以大豆为主的植物蛋白在瘦体重和肌力增长上与乳蛋白没有明确差异。素食者可选大豆蛋白或豌豆蛋白，但建议选择混合植物蛋白以弥补单一植物蛋白氨基酸谱的不足。-
-
9
如果你想利用夜间恢复窗口：
酪蛋白（Casein）：吸收缓慢（4–6小时），可在睡眠期间持续释放氨基酸。睡前补充酪蛋白是延长夜间肌肉合成窗口的有效策略，但它不能替代训练后的乳清蛋白。-
1
选购时看准这三点
蛋白质含量：优选每100克产品中蛋白质含量≥80% 的款式，碳水和脂肪含量越低越好-
9
。
配料表干净度：配料表按含量降序排列，蛋白质来源应排在第一位。尽量避开含大量麦芽糊精、植脂末或人工色素的产品-
9
。
计算“蛋白价比”：不要只看总价，用 “总价 ÷ 每份蛋白质克数” 来横向对比不同产品，这样更能找到真正划算的选择-
9
。
品牌参考（基于公开评测）
以下品牌在近年评测中常被提及，可作为初步筛选的参考，并非绝对推荐：
经典综合款：Optimum Nutrition（ON）金标乳清，市场验证时间长，配方稳定，口感接受度高-
19
。
高纯度/低乳糖：Dymatize ISO100，水解分离乳清，纯度极高，溶解度好，适合对乳糖敏感或追求纯净配方的人-
15
。
预算友好款：Myprotein Impact分离乳清，大包装活动价优势明显，口味选择多，适合作为长期“口粮粉”-
15
。
国产品牌：康比特，产品线细分清晰，有分离乳清系列可供选择，线下渠道较广-
15
。
最后提醒：蛋白粉是膳食补充剂，不能替代正常饮食。增肌的核心仍然是系统的抗阻训练和充足的总热量与蛋白质摄入（建议每日每公斤体重1.6–2.2克蛋白质）-
1
。如果你有肾脏疾病或其他特殊健康状况，补充前请务必咨询医生。</x:v>
      </x:c>
      <x:c r="I9" s="5" t="str">
        <x:v>否</x:v>
      </x:c>
      <x:c r="J9" s="5" t="str"/>
      <x:c r="K9" s="5" t="str"/>
      <x:c r="L9" s="5" t="str"/>
      <x:c r="M9" s="5" t="str">
        <x:v>康比特、Myprotein、ON/欧普特蒙、狄马泰斯</x:v>
      </x:c>
      <x:c r="N9" s="5" t="str">
        <x:v>品牌提及/类型说明</x:v>
      </x:c>
      <x:c r="O9" s="5" t="str"/>
      <x:c r="P9" s="5" t="str"/>
      <x:c r="Q9" s="5" t="str"/>
      <x:c r="R9" s="5" t="str">
        <x:v>蛋白粉，你真的选对了吗？听听中山一院广西医院营养科医生的“硬核”建议
知吗？开门┋蛋白质补充选择题：蛋白粉是“捷径”，还是天然食物更靠谱？
蛋白粉哪个好？2026年按人群选择蛋白粉品牌的实用参考
分离乳清蛋白粉哪个品牌好？高蛋白、低乳糖与快慢蛋白配方解析_功能营养_什么值得买</x:v>
      </x:c>
      <x:c r="S9" s="5" t="str">
        <x:v>https://www.zsyygxyy.org.cn/news/newsyyxw/4850.html
https://cloud.kepuchina.cn/h5/detail?id=7436105219035611136
http://news.miaoshou.com/news/8wvGy1E8Vo7DN6lP.html#1
https://post.smzdm.com/p/ae6v9x7z/</x:v>
      </x:c>
      <x:c r="T9" s="5" t="str">
        <x:v>www.zsyygxyy.org.cn
cloud.kepuchina.cn
news.miaoshou.com
post.smzdm.com</x:v>
      </x:c>
      <x:c r="U9" s="5" t="str">
        <x:v>是</x:v>
      </x:c>
      <x:c r="V9" s="5" t="str"/>
      <x:c r="W9" s="5" t="str">
        <x:v>https://chat.deepseek.com/a/chat/s/4f370e06-2014-42e9-8305-5fbd47243606</x:v>
      </x:c>
      <x:c r="X9" s="5" t="n">
        <x:v>4</x:v>
      </x:c>
      <x:c r="Y9" s="5" t="str">
        <x:v>否</x:v>
      </x:c>
    </x:row>
    <x:row r="10" ht="34" customHeight="1">
      <x:c r="A10" s="5" t="str">
        <x:v>Q9</x:v>
      </x:c>
      <x:c r="B10" s="5" t="str">
        <x:v>100元左右有什么蛋白粉推荐？</x:v>
      </x:c>
      <x:c r="C10" s="5" t="str">
        <x:v>购买推荐</x:v>
      </x:c>
      <x:c r="D10" s="5" t="str">
        <x:v>DeepSeek</x:v>
      </x:c>
      <x:c r="E10" s="5" t="str">
        <x:v>自然</x:v>
      </x:c>
      <x:c r="F10" s="5" t="str">
        <x:v>2026/9/28 15:34:27</x:v>
      </x:c>
      <x:c r="G10" s="5" t="str">
        <x:v>有效</x:v>
      </x:c>
      <x:c r="H10" s="5" t="str">
        <x:v>100元左右的预算，确实能找到一些性价比不错的蛋白粉选择。我整理了一些常见的产品，你可以根据自己的需求来参考。
📋 百元价位蛋白粉推荐
推荐品牌 / 产品	参考价格	规格	类型 / 特点	购买渠道 / 备注
京东京造 乳清蛋白粉	69 - 102元	450g / 600g	纯乳清蛋白，乳清蛋白含量超99%，草饲奶源，适合健身入门-
	京东自营，需关注换购或领券活动，价格波动较大
诺特兰德 三重蛋白乳清蛋白粉	64.5元	450g	复合乳清蛋白，品牌知名度高，配方成熟，口感接受度好-
-
24
	天猫超市，需关注立减活动
江中初元 PROSHIELD牌 蛋白粉	89元	400g*2罐	动植物双蛋白，蓝帽认证，85%蛋白质含量，不含蔗糖，适合送长辈或日常营养补充-
-
2
	京东江中官方旗舰店，需领大额优惠券
Myprotein 熊猫乳清蛋白粉	80 - 125元	250g / 2.2磅	浓缩乳清蛋白，被称作“价格屠夫”，蛋白含量约75%，口味选择丰富-
5
-
	天猫/京东海外旗舰店，价格因规格和活动而异
BD 酵母蛋白粉	80 - 99元	4磅 (约1.8kg)	酵母蛋白，价格极低，不含乳糖，适合乳糖不耐受人群，性价比极高-
	抖音/拼多多，需领券，价格可能更低
怡可纳 酵母蛋白粉	70 - 144元	桶装 / 2.27kg	酵母蛋白，价格便宜，是很多学生党的选择，但部分用户反馈口感和溶解性一般-
-
	抖音/京东，需关注活动
贝塔尔 酵母蛋白粉	约110元	5磅 (约2.27kg)	酵母蛋白，价格便宜，有抹茶等口味可选，适合预算非常有限的用户-
-
	拼多多/抖音，需刷券
捷氏 益生菌蛋白质粉	99元	1000g	复合蛋白，添加益生菌，大罐装，适合注重肠道健康或家庭日常补充的用户-
-
27
	京东自营，需凑单换购
康恩贝 蛋白粉	76元	400g*2罐	动植物双蛋白（大豆分离蛋白+乳清蛋白），蓝帽认证，适合中老年人增强免疫力-
	京东，需领满减优惠券
💡 选购小贴士
在百元预算内挑选时，可以留意这几点：
分清蛋白类型：乳清蛋白吸收快，适合健身增肌；酵母蛋白和大豆蛋白价格更低，但口感和吸收效率可能稍逊。如果追求性价比，纯乳清蛋白是首选-
5
。
关注优惠活动：这个价位的产品通常需要叠加优惠券、换购或满减活动才能做到低价，购买前可以多平台比价，并留意“什么值得买”这类折扣信息平台-
。
留意配料表：尽量选择配料表干净、蛋白质来源清晰的产品。如果对乳糖不耐受，可以选择分离乳清蛋白或酵母蛋白-
5
。
总的来说，如果追求纯粹的乳清蛋白，京东京造和Myprotein是很好的选择；如果预算非常紧张，BD或怡可纳的酵母蛋白可以作为低成本补充方案；如果是送长辈或日常营养补充，江中初元或康恩贝的双蛋白粉则更为合适。
你买蛋白粉主要是为了健身增肌，还是日常补充营养呢？告诉我你的具体用途，我可以帮你挑出最适合你的那一款～</x:v>
      </x:c>
      <x:c r="I10" s="5" t="str">
        <x:v>是</x:v>
      </x:c>
      <x:c r="J10" s="5" t="str"/>
      <x:c r="K10" s="5" t="n">
        <x:v>6</x:v>
      </x:c>
      <x:c r="L10" s="5" t="str"/>
      <x:c r="M10" s="5" t="str">
        <x:v>怡可纳、京东京造、BD能量、诺特兰德、康恩贝、江中、Myprotein、贝塔尔、捷氏</x:v>
      </x:c>
      <x:c r="N10" s="5" t="str">
        <x:v>顺序列举</x:v>
      </x:c>
      <x:c r="O10" s="5" t="str">
        <x:v>母蛋白，价格极低，不含乳糖，适合乳糖不耐受人群，性价比极高- 抖音/拼多多，需领券，价格可能更低 怡可纳 酵母蛋白粉 70 - 144元 桶装 / 2.27kg 酵母蛋白，价格便宜，是很多学生党的选择，但部分用户反馈口感和溶解性一般- - 抖音/京东，需关注活动 贝塔尔 酵母蛋白粉 约110元 5磅 (约2.27kg) 酵母蛋白，价格便宜，有抹茶等口味可选，适合预算非常有限的用户- - 拼多多/抖音，需刷券 捷氏 益生菌蛋白质粉 99元 1000g 复合蛋白，添加益生菌，大罐装，适合注重肠道健康或家庭日常补充的用户- - 27 京东自营，需凑单换</x:v>
      </x:c>
      <x:c r="P10" s="5" t="str">
        <x:v>混合</x:v>
      </x:c>
      <x:c r="Q10" s="5" t="str">
        <x:v>酵母蛋白、价格优势、乳糖不耐场景、口感/冲泡体验、运动/健身</x:v>
      </x:c>
      <x:c r="R10" s="5" t="str">
        <x:v>页面未提供标题（引用编号）
洋小二海淘网|简简单单淘全球！
平价增肌蛋白粉怎么挑！按预算分级认准纯乳清避开劣质坑 - 今日头条
页面未提供标题（引用编号）</x:v>
      </x:c>
      <x:c r="S10" s="5" t="str">
        <x:v>https://guangdiu.com/detail.php?id=27238229
https://www.yxeht.com/index.php/goods/view/id/2208927.html
https://www.toutiao.com/article/7684977285019058717/?wid=1789782416809
https://www.smzdm.com/p/183026225/</x:v>
      </x:c>
      <x:c r="T10" s="5" t="str">
        <x:v>guangdiu.com
www.yxeht.com
www.toutiao.com
www.smzdm.com</x:v>
      </x:c>
      <x:c r="U10" s="5" t="str">
        <x:v>是</x:v>
      </x:c>
      <x:c r="V10" s="5" t="str"/>
      <x:c r="W10" s="5" t="str">
        <x:v>https://chat.deepseek.com/a/chat/s/dee40f84-e2be-4dce-92a7-4617059d7649</x:v>
      </x:c>
      <x:c r="X10" s="5" t="n">
        <x:v>4</x:v>
      </x:c>
      <x:c r="Y10" s="5" t="str">
        <x:v>否</x:v>
      </x:c>
    </x:row>
    <x:row r="11" ht="34" customHeight="1">
      <x:c r="A11" s="5" t="str">
        <x:v>Q10</x:v>
      </x:c>
      <x:c r="B11" s="5" t="str">
        <x:v>性价比高的蛋白粉有哪些？</x:v>
      </x:c>
      <x:c r="C11" s="5" t="str">
        <x:v>购买推荐</x:v>
      </x:c>
      <x:c r="D11" s="5" t="str">
        <x:v>DeepSeek</x:v>
      </x:c>
      <x:c r="E11" s="5" t="str">
        <x:v>自然</x:v>
      </x:c>
      <x:c r="F11" s="5" t="str">
        <x:v>2026/9/28 15:34:39</x:v>
      </x:c>
      <x:c r="G11" s="5" t="str">
        <x:v>有效</x:v>
      </x:c>
      <x:c r="H11" s="5" t="str">
        <x:v>选择性价比高的蛋白粉，关键不是看总价，而是看每克蛋白质的实际成本。根据独立测评数据，市面上性价比最高的产品，每克蛋白质成本可以低至 $0.026**（约人民币 0.19 元），而一些高价产品则可能达到 **$0.06 以上，差距显著-
11
。
下面我为你整理了一些在性价比方面表现突出的蛋白粉，涵盖了国际和国内的主流选择。
🏆 国际品牌：口碑与性价比的平衡
Myprotein Impact Whey
这款是许多测评中公认的性价比标杆。其蛋白质实测准确率高达 97.6%，每份成本约 $0.53**，每克蛋白质成本仅 **$0.026，在同类产品中非常突出。它口味选择极多，但需要注意，部分口味可能偏甜，且溶解性一般。适合对价格敏感、愿意尝试不同口味的健身爱好者。-
11
-
Optimum Nutrition (ON) 金标乳清
ON 是市场上的经典选择，品质稳定。其蛋白质实测准确率高达 98.8%，每份成本约 $0.83**，每克蛋白质成本约 **$0.035。它采用乳清混合蛋白，口感公认较好。如果你希望找一款品质可靠、不易出错的“口粮粉”，ON 是很好的选择。-
11
Dymatize ISO100
这款是水解分离乳清，吸收速度更快，乳糖含量极低。它的蛋白质实测准确率高达 99.2%，每克蛋白质成本约 $0.038，在高端分离乳清中性价比不错。适合乳糖不耐受或追求极致低脂低碳的健身者。-
-
11
Nutricost Whey Protein
如果你追求极致的性价比，Nutricost 的大桶装（如5磅）是很有竞争力的选择。其浓缩乳清蛋白每份成本可低至 $0.87 左右，性价比很高。不过，它的配方相对基础，可能含有较多添加剂。-
30
-
🇨🇳 国产品牌：亲民实惠的选择
诺特兰德 (Nutrend)
诺特兰德在国内健身圈以价格亲民著称，常被称为“穷哥们儿好伙伴”。其乳清蛋白粉5磅装的价格常在 170元 左右，性价比很高。但需要注意的是，部分用户反馈其香精味较重，口感一般。适合预算非常有限，且对口味要求不高的用户。-
-
康比特 (CPT)
作为国产老牌，康比特的蛋白质纯净度良好，定价适中，性价比属于中等偏上。有测评显示，其每克蛋白质成本比一些英国品牌便宜约 HK$0.025。如果你希望支持国货，同时获得稳定的品质，康比特是一个稳妥的选择。-
💰 平价之选：极致预算下的考量
Body Fortress Super Advanced Whey
这款产品以便宜量大闻名，能提供大量廉价蛋白质。但它的缺点也很明显：以浓缩乳清为主，脂肪、碳水含量较高，且含有人工甜味剂。它更适合增肌期、对卡路里不敏感，且不在乎添加剂的预算型用户。-
30
NOW Sports Whey Protein Isolate
NOW Sports 的分离乳清在“平价”产品中口碑不错，每份成本约 $1.22 起。它同样主打性价比，配料相对简单。适合希望以较低价格尝试分离乳清的用户。-
💡 如何自己判断性价比？
与其只看品牌，不如学会自己计算和比较：
看配料表：配料表是按含量从高到低排列的。排在第一位的应该是“乳清蛋白”、“分离乳清蛋白”或“大豆分离蛋白”等核心成分，而不是“麦芽糊精”或“糖”。
算“每克蛋白质成本”：这是最核心的指标。公式很简单：
每克蛋白质成本 = 产品总价 ÷ (每份蛋白质含量 × 总份数)
用这个价格去比较不同产品，就能一目了然地看出谁更划算。
根据需求选类型：
乳清浓缩蛋白：性价比最高，但乳糖和脂肪含量相对较高。
乳清分离/水解蛋白：纯度更高，乳糖极低，吸收快，但价格也更贵。适合乳糖不耐受或严格控制热量的人。
植物蛋白：如豌豆蛋白、大豆蛋白，适合素食者或对乳制品过敏的人群。
总结一下：
追求极致性价比和口味多样性，可以看看 Myprotein；想要品质稳定的经典款，ON 金标是稳妥之选；如果预算非常有限，诺特兰德或 Body Fortress 可以作为一个选项，但需要接受其在口感或配方上的妥协。
你平时主要是为了健身增肌，还是日常补充营养呢？可以告诉我你的具体需求，我来帮你挑出最合适的一款～</x:v>
      </x:c>
      <x:c r="I11" s="5" t="str">
        <x:v>否</x:v>
      </x:c>
      <x:c r="J11" s="5" t="str"/>
      <x:c r="K11" s="5" t="str"/>
      <x:c r="L11" s="5" t="str"/>
      <x:c r="M11" s="5" t="str">
        <x:v>康比特、诺特兰德、Myprotein、ON/欧普特蒙、狄马泰斯、Nutricost</x:v>
      </x:c>
      <x:c r="N11" s="5" t="str">
        <x:v>品牌提及/类型说明</x:v>
      </x:c>
      <x:c r="O11" s="5" t="str"/>
      <x:c r="P11" s="5" t="str"/>
      <x:c r="Q11" s="5" t="str"/>
      <x:c r="R11" s="5" t="str">
        <x:v>2026年蛋白粉性价比、准确性与营养成分排名 | Nutrola
Body Fortress Whey Protein Review (2026): Budget Protein With Tradeoffs</x:v>
      </x:c>
      <x:c r="S11" s="5" t="str">
        <x:v>https://nutrola.app/zh/blog/every-protein-powder-ranked-by-value-accuracy-macros-2026
https://fitnessvolt.com/body-fortress-whey-protein-review/?rbsnp=1#respond</x:v>
      </x:c>
      <x:c r="T11" s="5" t="str">
        <x:v>nutrola.app
fitnessvolt.com</x:v>
      </x:c>
      <x:c r="U11" s="5" t="str">
        <x:v>是</x:v>
      </x:c>
      <x:c r="V11" s="5" t="str"/>
      <x:c r="W11" s="5" t="str">
        <x:v>https://chat.deepseek.com/a/chat/s/5c9206b8-67d4-4418-abb9-d425c82fd6da</x:v>
      </x:c>
      <x:c r="X11" s="5" t="n">
        <x:v>2</x:v>
      </x:c>
      <x:c r="Y11" s="5" t="str">
        <x:v>否</x:v>
      </x:c>
    </x:row>
    <x:row r="12" ht="34" customHeight="1">
      <x:c r="A12" s="5" t="str">
        <x:v>Q11</x:v>
      </x:c>
      <x:c r="B12" s="5" t="str">
        <x:v>国产蛋白粉哪个牌子值得买？</x:v>
      </x:c>
      <x:c r="C12" s="5" t="str">
        <x:v>购买推荐</x:v>
      </x:c>
      <x:c r="D12" s="5" t="str">
        <x:v>DeepSeek</x:v>
      </x:c>
      <x:c r="E12" s="5" t="str">
        <x:v>自然</x:v>
      </x:c>
      <x:c r="F12" s="5" t="str">
        <x:v>2026/9/28 15:34:51</x:v>
      </x:c>
      <x:c r="G12" s="5" t="str">
        <x:v>有效</x:v>
      </x:c>
      <x:c r="H12" s="5" t="str">
        <x:v>国产蛋白粉现在选择很多，没有绝对的“最好”，关键是根据你的使用场景来选。我把主流品牌按场景分成了几类，你可以直接对号入座。
🏋️ 追求高纯度与训练效果
这类产品适合有规律健身习惯、对蛋白质纯度有要求的人。
元素力量：它的分离乳清蛋白粉是四重乳蛋白复配（分离/浓缩/水解乳清+酪蛋白），成品蛋白质含量高达87.0克/100克，而脂肪仅0.718克，总糖和乳糖都低至0.62克/100克，对乳糖不耐受人群非常友好。9克独立小袋装是它的一大亮点，携带和冲泡都极其方便，很适合办公室或出差场景。不过，小袋装折算下来单克蛋白成本会偏高一些，且原味口感偏清淡-
1
-
2
。
康比特：国内运动营养的老牌选手，健身房教练圈里口碑很好。产品线很细，增肌粉、乳清、分离乳清都有覆盖。它的分离乳清款粉质细腻，冷水也能很快摇开，溶解度不错。口味调制比较克制，比如巧克力味不会过甜，招牌的酸奶味评价很高。需要注意的是，购买时一定要看清具体系列，避免把浓缩乳清版本当成分离款买错-
-
21
。
优恩：走的是传统健身乳清路线，它的ISO分离乳清蛋白粉标称纯度可达93%，每份能提供约25克优质蛋白，适合对纯度有极致追求的训练者。由于采用了ISO工艺，大部分乳糖和脂肪被去除，肠胃敏感的人喝起来负担也比较小-
。
🧑‍🤝‍🧑 家庭日常与温和补充
如果是为了给家人补充营养，或者自己刚开始接触蛋白粉，更温和、好入口的产品会更合适。
汤臣倍健：品牌知名度高，在药店和电商渠道都很容易买到。它主打乳清蛋白+大豆分离蛋白的双蛋白路线，有“蓝帽”认证，品质有保障。口感温和，溶解性不错，没有很重的奶腥味，很适合刚开始补充蛋白粉的人群或家里的长辈。它的旗舰蓝罐臻钻系列蛋白质含量可达90%，并添加了免疫蛋白，定位更进阶-
。
康恩贝：同样是家庭营养定位，采用大豆分离蛋白与乳清蛋白的组合，标注蛋白质含量80克/100克，有“蓝帽”认证。冲出来有比较醇厚的豆乳感，价格亲民，性价比不错。但需注意，这个牌子版本和代工厂较多，购买时建议看清配料表和批准文号-
1
-
。
安琪纽特：如果你对乳清蛋白不耐受，或者想尝试不同来源的蛋白，可以看看它。它采用的是酵母蛋白与植物蛋白的混合配方，来源比较特别，有红豆味等小众口味。不过它的风味比较独特，带有发酵味，建议先买小罐装试试看是否习惯-
1
。
💰 高性价比与大规格之选
对于训练频率高、蛋白粉消耗量大的用户，大规格包装的性价比会更突出。
赛霸：以大规格和多口味为主要特点，适合高频训练者作为长期口粮。有用户反馈其粉质细腻、溶解度好，抹茶味等口味比较清新。但需要留意，曾有投诉指出其产品存在成分标注不清、更换配方未告知等问题，购买时建议仔细核对最新批次的配料表-
2
-
。
诺特兰德：产品线非常丰富，SKU（具体产品型号）极多，覆盖乳清、分离乳清、复合蛋白等多种方向。好处是选择多、口味丰富，但品牌名太宽泛，必须锁定具体产品型号来对比营养成分，不能只看品牌名就下单-
3
。
💎 总结与选购建议
无论选择哪个品牌，下单前都可以用这三步来核对，避免踩坑：
看蛋白来源：配料表排第一的是什么？是分离乳清、浓缩乳清，还是大豆蛋白？这决定了产品的核心属性。
算蛋白密度：不要只看每份含多少克蛋白质，一定要统一换算成“每100克成品”的蛋白质含量，这样才能公平对比不同产品的纯度。
核对包装与价格：计算每克蛋白质的实际成本（到手价 ÷ 总蛋白质克数），同时留意是大桶装还是独立小袋，根据你的使用场景来权衡便利性和成本-
-
16
。
希望这些信息能帮你选到适合自己的那一款。如果你方便说说自己的具体使用场景（比如是健身增肌、日常营养补充，还是给长辈买），我可以帮你再细化一下建议～</x:v>
      </x:c>
      <x:c r="I12" s="5" t="str">
        <x:v>否</x:v>
      </x:c>
      <x:c r="J12" s="5" t="str"/>
      <x:c r="K12" s="5" t="str"/>
      <x:c r="L12" s="5" t="str"/>
      <x:c r="M12" s="5" t="str">
        <x:v>安琪纽特、赛霸/小赛同学、康比特、诺特兰德、汤臣倍健、元素力量、优恩、康恩贝</x:v>
      </x:c>
      <x:c r="N12" s="5" t="str">
        <x:v>品牌提及/类型说明</x:v>
      </x:c>
      <x:c r="O12" s="5" t="str"/>
      <x:c r="P12" s="5" t="str"/>
      <x:c r="Q12" s="5" t="str"/>
      <x:c r="R12" s="5" t="str">
        <x:v>2026年蛋白质粉哪个牌子好？6个国产品牌公开参数与配方对比_功能营养_什么值得买
高蛋白粉哪个品牌好？6款国产产品蛋白含量、配方与检测解析
页面未提供标题（引用编号）
2026年比较好的蛋白粉品牌有哪些？6款国产产品按配方与场景解析
页面未提供标题（引用编号）</x:v>
      </x:c>
      <x:c r="S12" s="5" t="str">
        <x:v>https://post.smzdm.com/p/az86mkqr/
http://news.miaoshou.com/news/WLMXz1jzaew1RQd5.html#1
https://post.smzdm.com/p/ae6v9x7z/
https://www.xinzhibio.bioon.com.cn/article/7ae8307b24c3
https://cjyun.10yan.com.cn/p/449941.html#comment</x:v>
      </x:c>
      <x:c r="T12" s="5" t="str">
        <x:v>post.smzdm.com
news.miaoshou.com
post.smzdm.com
www.xinzhibio.bioon.com.cn
cjyun.10yan.com.cn</x:v>
      </x:c>
      <x:c r="U12" s="5" t="str">
        <x:v>是</x:v>
      </x:c>
      <x:c r="V12" s="5" t="str"/>
      <x:c r="W12" s="5" t="str">
        <x:v>https://chat.deepseek.com/a/chat/s/358671ee-67df-4387-ac0f-c0abed211d04</x:v>
      </x:c>
      <x:c r="X12" s="5" t="n">
        <x:v>5</x:v>
      </x:c>
      <x:c r="Y12" s="5" t="str">
        <x:v>否</x:v>
      </x:c>
    </x:row>
    <x:row r="13" ht="34" customHeight="1">
      <x:c r="A13" s="5" t="str">
        <x:v>Q12</x:v>
      </x:c>
      <x:c r="B13" s="5" t="str">
        <x:v>学生党健身适合买什么蛋白粉？</x:v>
      </x:c>
      <x:c r="C13" s="5" t="str">
        <x:v>购买推荐</x:v>
      </x:c>
      <x:c r="D13" s="5" t="str">
        <x:v>DeepSeek</x:v>
      </x:c>
      <x:c r="E13" s="5" t="str">
        <x:v>自然</x:v>
      </x:c>
      <x:c r="F13" s="5" t="str">
        <x:v>2026/9/28 15:44:09</x:v>
      </x:c>
      <x:c r="G13" s="5" t="str">
        <x:v>有效</x:v>
      </x:c>
      <x:c r="H13" s="5" t="str">
        <x:v>给学生党挑蛋白粉，核心原则就是把预算花在刀刃上，追求“每克蛋白质”的最高性价比。不用追求最贵的，关键是选对类型，并学会计算真实成本。
🧐 先搞懂：哪种蛋白粉最适合你？
市面上的蛋白粉主要分这几种，了解区别能帮你避开很多坑：
浓缩乳清蛋白 (WPC)：性价比首选。蛋白质含量通常在70%-80%，价格最亲民，吸收也快-
。只要没有乳糖不耐受（喝牛奶不拉肚子），它就是你入门或长期口粮的最佳选择-
。
分离乳清蛋白 (WPI)：“纯净”进阶版。纯度更高（90%以上），乳糖和脂肪极低，适合乳糖不耐受或严格控脂的同学，但价格也更高-
。
酪蛋白：慢速“守护者”。吸收慢，饱腹感强，适合睡前补充，但不适合作为训练后的快速补充-
。
植物蛋白：乳糖不耐的备选。比如豌豆蛋白，不含乳糖，但可能有豆腥味，且吸收率通常不如乳清蛋白-
2
-
15
。
结论：对大多数学生党来说，浓缩乳清蛋白（WPC）是兼顾效果和预算的最优解-
15
。
💰 怎么选才叫“性价比高”？看这两个关键点
别只看总价，学会下面这两招，才能买到真正的实惠：
算“每克蛋白质成本”：这是最核心的指标。公式很简单：产品总价 ÷ 总蛋白质含量。比如一桶粉300元，总蛋白质含量是2000克，那么每克蛋白质成本就是0.15元。可以给自己设个目标，尽量选择每克蛋白质成本低于0.15元的产品-
3
。
看“配料表”和“蛋白质含量”：
蛋白质含量：看营养成分表，每100克产品中蛋白质含量最好≥70%。低于这个数，说明填充物太多，不划算-
15
。
配料表：第一位必须是“浓缩乳清蛋白”或“乳清蛋白粉”-
15
。配料表越短越好，警惕植脂末、氢化植物油、白砂糖、麦芽糊精等排在很前面的成分，这些是拉低性价比的“填充剂”-
15
。
🛒 有哪些品牌值得考虑？
基于以上标准，这里有几个口碑不错、适合学生党的品牌方向，你可以参考一下：
品牌方向	类型	特点与参考
Myprotein	浓缩乳清	国际知名“性价比之王”，口味选择超多。注意：不同渠道价格差异大，建议对比每克蛋白质成本后入手-
-
29
。
康比特	浓缩乳清	国产老牌，品质稳定。有实测显示其每克蛋白质成本可能比同规格的Myprotein更低，是可靠的口粮选择-
-
29
。
概特 (GAT)	混合乳清	被很多学生党推荐的“平价大碗”选择，5磅装价格常在两百元出头，性价比很高-
。
京东京造	乳清蛋白	电商自有品牌，品质有平台背书，价格有竞争力。例如其400g/32袋独立包装款，售价约109元，方便控制用量且不易受潮-
。
肌肉科技 / ON金标	混合/分离乳清	知名品牌，品质有保障。肌肉科技有9克独立小袋装，方便携带-
1
。ON金标蛋白质含量很高，但价格也相对更高-
1
。
💡 给学生的几点实在建议
先试小包装，别直接买大桶：尤其是没喝过的品牌，可以先买小包装或试用装，确认口味和肠胃耐受度，避免买了一大桶结果喝不惯造成浪费-
16
。
不必迷信“进口”：很多优质的国产蛋白粉，配方和品质都很好，价格也更友好，是更务实的选择-
。
你的“基础套餐”是：浓缩乳清蛋白粉 + 一水肌酸。这个组合被很多人认为是性价比最高的基础搭配，可以同时兼顾肌肉修复和力量提升-
。
蛋白粉是“补充”，不是“神药”：它只是帮你方便地补足三餐中没吃够的蛋白质。优先保证日常饮食中有足够的肉、蛋、奶、豆制品-
3
。
你目前的训练频率大概是怎样的呢？告诉我你的情况，我可以帮你估算一下每天大概需要补充多少蛋白质，以及这罐粉大概能喝多久～</x:v>
      </x:c>
      <x:c r="I13" s="5" t="str">
        <x:v>否</x:v>
      </x:c>
      <x:c r="J13" s="5" t="str"/>
      <x:c r="K13" s="5" t="str"/>
      <x:c r="L13" s="5" t="str"/>
      <x:c r="M13" s="5" t="str">
        <x:v>概特/盖特、京东京造、康比特、Myprotein、ON/欧普特蒙、肌肉科技</x:v>
      </x:c>
      <x:c r="N13" s="5" t="str">
        <x:v>品牌提及/类型说明</x:v>
      </x:c>
      <x:c r="O13" s="5" t="str"/>
      <x:c r="P13" s="5" t="str"/>
      <x:c r="Q13" s="5" t="str"/>
      <x:c r="R13" s="5" t="str">
        <x:v>2026年蛋白质粉哪个牌子好？6个国产品牌公开参数与配方对比_功能营养_什么值得买
页面未提供标题（引用编号）
【學生黨必睇💡平價高質蛋白粉邊款抵買？宿舍沖泡攻略+成本拆解！】
页面未提供标题（引用编号）
每月预算有限怎么选蛋白粉？六款产品按每日成本排序 - 首页 &gt; 妙手资讯&gt; 医药动态&gt; 每月预算有限怎么选蛋白粉
页面未提供标题（引用编号）</x:v>
      </x:c>
      <x:c r="S13" s="5" t="str">
        <x:v>https://post.smzdm.com/p/az86mkqr/
https://post.smzdm.com/p/a4qr9nnw/#1#1#1
https://world.taobao.com/lang/zh-tw/shopping-guide/1980225789202792448.htm?spm=a21wu.12321156-tw%2Fdefault.knowledge-recommend.7&amp;from=redirectFromAutoCallApp#1
https://world.taobao.com/lang/zh-tw/shopping-guide/1995650685382688768.htm?from=redirectFromAutoCallApp#1#1#1
http://news.miaoshou.com/news/Bnjm5DOdbg61po2W.html#1
https://world.taobao.com/lang/zh-tw/shopping-guide/2031264706374664192.htm#1</x:v>
      </x:c>
      <x:c r="T13" s="5" t="str">
        <x:v>post.smzdm.com
post.smzdm.com
world.taobao.com
world.taobao.com
news.miaoshou.com
world.taobao.com</x:v>
      </x:c>
      <x:c r="U13" s="5" t="str">
        <x:v>是</x:v>
      </x:c>
      <x:c r="V13" s="5" t="str"/>
      <x:c r="W13" s="5" t="str">
        <x:v>https://chat.deepseek.com/a/chat/s/f70b5f8b-7828-433e-b7b8-d23d11374d86</x:v>
      </x:c>
      <x:c r="X13" s="5" t="n">
        <x:v>6</x:v>
      </x:c>
      <x:c r="Y13" s="5" t="str">
        <x:v>否</x:v>
      </x:c>
    </x:row>
    <x:row r="14" ht="34" customHeight="1">
      <x:c r="A14" s="5" t="str">
        <x:v>Q13</x:v>
      </x:c>
      <x:c r="B14" s="5" t="str">
        <x:v>有没有比较好喝、容易坚持喝的蛋白粉推荐？</x:v>
      </x:c>
      <x:c r="C14" s="5" t="str">
        <x:v>购买推荐</x:v>
      </x:c>
      <x:c r="D14" s="5" t="str">
        <x:v>DeepSeek</x:v>
      </x:c>
      <x:c r="E14" s="5" t="str">
        <x:v>自然</x:v>
      </x:c>
      <x:c r="F14" s="5" t="str">
        <x:v>2026/9/28 15:44:25</x:v>
      </x:c>
      <x:c r="G14" s="5" t="str">
        <x:v>有效</x:v>
      </x:c>
      <x:c r="H14" s="5" t="str">
        <x:v>想找到一款好喝又能坚持喝的蛋白粉，关键在于把“口味”和“坚持度”放在和蛋白质含量同等重要的位置。一款粉如果味道不好，蛋白质再高也很难长期喝下去，效果自然打折扣-
2
。
下面我按不同“口味路线”整理了一些口碑不错的选择，你可以根据自己的喜好来挑。
🍫 经典浓郁派：追求奶昔般的满足感
如果你喜欢浓郁、有饱腹感的口感，这类蛋白粉是首选，很适合用来替代高热量甜品。
Optimum Nutrition (ON) 金标乳清蛋白：健身圈的“标杆”产品，双重浓郁巧克力口味是公认的经典。它的粉质细腻，溶解性好，几乎不结块，甜度适中不腻口，是很多人日常口粮的安心之选-
。
BSN SYNTHA-6：这款以香草冰淇淋口味出名，口感非常接近真实的奶昔，绵密顺滑。它的蛋白质混合配方带来了极佳的口感体验，适合对口味要求很高、不太在意极致低热量的人群-
-
27
。
Muscle Milk Genuine Protein：在盲测中，它的巧克力口味获得了很高的评价，被称赞为“奶油般浓郁”且没有颗粒感，是巧克力爱好者的一个可靠选择-
53
。
🍬 趣味甜品派：把补剂变成“小零食”
如果你觉得传统奶昔口味容易喝腻，想要一些新鲜感，这类“甜品复刻”风格的蛋白粉会让坚持变得有趣。
GHOST Whey：这个品牌以和食品品牌联名闻名。它的 Chips Ahoy（趣多多） 口味里甚至能喝到真实的饼干碎，是甜品风格的首选；Cinnabon（肉桂卷） 等口味也很有特色。需要注意的是，它的配方相对不那么“干净”，更适合追求极致口感体验的尝鲜者-
27
-
。
Dymatize ISO100：如果你喜欢水果麦片泡牛奶的味道，它的 Fruity Pebbles（水果麦片） 口味会带来惊喜。作为水解分离乳清，它吸收快、粉质极细，同时做到了口味清新有趣-
-
27
。
🧊 清爽果味派：像喝饮料一样无负担
如果你不喜欢奶味，或者夏天想喝点清爽的，透明蛋白粉（Clear Protein）或果味分离乳清是很好的方向。
透明分离乳清：这类蛋白粉冲出来是清澈的液体，口感像果汁或果茶。例如，Myprotein曾推出过可乐口味的透明分离乳清，入口清凉畅快，完全颠覆了传统蛋白粉的奶昔印象-
。
水果风味：一些品牌也提供清爽的果味选项，比如青提芭乐味，打开就能闻到清新的水果香气，喝起来负担感很轻-
。
🌱 植物基选择：顺滑无豆腥
对于乳糖不耐受或偏好植物蛋白的人，现在的植物蛋白粉在口感上已经有了很大进步。
THE VEGAN 樂維根：有用户反馈其植物蛋白粉口感顺滑、没有粉感，巧克力味是受欢迎的选择，甜度适中不易腻-
。
Orgain Organic Vegan Protein：它的 Creamy Chocolate Fudge 口味在植物基巧克力蛋白粉中表现突出，被一些评测选为植物基类别的优胜者-
27
。
💡 如何聪明地选择，提高“坚持度”
除了口味，这几个小技巧也能帮你更好地坚持下来：
先买小包装或试饮装：这是避免踩雷最有效的方法。大桶装虽然单价划算，但如果味道不喜欢，很容易闲置浪费。很多品牌都有独立小袋装，方便尝试，也适合携带-
1
-
。
警惕“假好喝”：有些蛋白粉的香甜是依靠大量糖、香精和填充剂堆出来的。选择时可以留意配料表，优先选择用甜菊糖等天然代糖，且配料表相对干净的产品-
2
。
善用“口味调色盘”：如果单喝一种口味腻了，可以尝试用无味蛋白粉搭配牛奶、咖啡、燕麦、水果等，自己创造新口味，自由度更高。
你平时比较偏好奶味浓郁的口感，还是清爽的果味呢？告诉我你的口味倾向，我可以帮你把范围缩得更小一些～</x:v>
      </x:c>
      <x:c r="I14" s="5" t="str">
        <x:v>否</x:v>
      </x:c>
      <x:c r="J14" s="5" t="str"/>
      <x:c r="K14" s="5" t="str"/>
      <x:c r="L14" s="5" t="str"/>
      <x:c r="M14" s="5" t="str">
        <x:v>Myprotein、ON/欧普特蒙、狄马泰斯、BSN、GHOST、Muscle Milk</x:v>
      </x:c>
      <x:c r="N14" s="5" t="str">
        <x:v>品牌提及/类型说明</x:v>
      </x:c>
      <x:c r="O14" s="5" t="str"/>
      <x:c r="P14" s="5" t="str"/>
      <x:c r="Q14" s="5" t="str"/>
      <x:c r="R14" s="5" t="str">
        <x:v>蛋白粉品质排名看什么？先看能不能天天喝得下去 - 蛋白粉品质排名看什么？先看能不能天天喝得下去
10 Best Tasting Protein Powders of 2026 (Whey, Isolate, Plant-Based, Chocolate, Vanilla, and Dessert Picks)
页面未提供标题（引用编号）
2026年蛋白质粉哪个牌子好？6个国产品牌公开参数与配方对比_功能营养_什么值得买</x:v>
      </x:c>
      <x:c r="S14" s="5" t="str">
        <x:v>http://news.miaoshou.com/news/6z34m1nVK6a1gNrx.html#1
https://fitnessvolt.com/best-tasting-protein-review/?rbsnp=1#respond
https://www.thekitchn.com/best-chocolate-protein-powder-23705716?utm_source=RSS&amp;utm_medium=feed&amp;utm_campaign=Category%2FChannel:+main#1
https://post.smzdm.com/p/az86mkqr/</x:v>
      </x:c>
      <x:c r="T14" s="5" t="str">
        <x:v>news.miaoshou.com
fitnessvolt.com
www.thekitchn.com
post.smzdm.com</x:v>
      </x:c>
      <x:c r="U14" s="5" t="str">
        <x:v>是</x:v>
      </x:c>
      <x:c r="V14" s="5" t="str"/>
      <x:c r="W14" s="5" t="str">
        <x:v>https://chat.deepseek.com/a/chat/s/7dea61cd-edd7-4f7e-8a94-ac59f721c426</x:v>
      </x:c>
      <x:c r="X14" s="5" t="n">
        <x:v>4</x:v>
      </x:c>
      <x:c r="Y14" s="5" t="str">
        <x:v>否</x:v>
      </x:c>
    </x:row>
    <x:row r="15" ht="34" customHeight="1">
      <x:c r="A15" s="5" t="str">
        <x:v>Q14</x:v>
      </x:c>
      <x:c r="B15" s="5" t="str">
        <x:v>酵母蛋白粉哪个牌子比较好？</x:v>
      </x:c>
      <x:c r="C15" s="5" t="str">
        <x:v>品牌竞争</x:v>
      </x:c>
      <x:c r="D15" s="5" t="str">
        <x:v>DeepSeek</x:v>
      </x:c>
      <x:c r="E15" s="5" t="str">
        <x:v>自然</x:v>
      </x:c>
      <x:c r="F15" s="5" t="str">
        <x:v>2026/9/28 15:44:37</x:v>
      </x:c>
      <x:c r="G15" s="5" t="str">
        <x:v>有效</x:v>
      </x:c>
      <x:c r="H15" s="5" t="str">
        <x:v>选择酵母蛋白粉，其实没有绝对的“最好”，核心是根据你的预算、对蛋白质含量的要求，以及对口感和飞粉的容忍度来权衡。目前市面上的产品可以清晰地分为两个梯队：追求品质与纯度的专业品牌，和主打极致性价比的“口粮”品牌。
🏆 品质与纯度优先：专业品牌推荐
如果你更看重配方的纯净、蛋白质的真实含量，以及品牌的研发背景，可以优先考虑以下品牌。
安琪纽特 (Angel Nutritech)
安琪酵母是国内酵母行业的头部企业，也是国内首个将酵母蛋白列入国家新食品原料目录的申报者。其旗下的安琪纽特酵母蛋白粉，依托母公司安琪酵母的研发实力，品质有保障。-
1
核心优势：配方干净，部分产品只含蛋白、维生素B族和锌，无香精和甜味剂，对肠胃敏感人群友好，不易胀气。其“保健食品批文版”的酵母粉添加量约30%，适合作为日常营养补充。-
市场认可：该产品曾入选“荆楚放心礼”，并获得了FFC2026功能性食品大会的产品创新奖。-
6
-
适合人群：追求品质、配方干净，或用于日常营养补充而非纯粹增肌的人群。
赛霸 (Saiba) / Concept GAT
这两个品牌在健身爱好者社区中被反复提及，属于酵母蛋白粉中兼顾品质与性价比的选择。-
3
赛霸85%：蛋白质含量高达85%，在主流产品中属于较高水平。常见价格在139-167.5元/5磅，遇到活动价时性价比很高。
Concept GAT 2.0：蛋白质含量83.5%，价格约126-149元/5磅。它的特点是蛋白比例、价格和大众接受度比较均衡。
💰 极致性价比之选：经济实用型品牌
如果你的预算有限，或者饮用量较大，希望找到最经济的蛋白质来源，可以关注以下几款被称为“口粮粉”的产品。
BD
蛋白质含量：约76%。
参考价格：约99元/4磅。
特点：如果结算价能稳定在百元以内，它的账面性价比非常直接。在部分社区讨论中，其绿豆味被提及口感不错。-
3
-
京东京造
蛋白质含量：75%。
参考价格：约159元/5磅。
特点：作为平台自有品牌，它的优势在于购买路径清晰，标签信息明确，品质相对有保障，适合不想花太多时间筛选的消费者。-
3
怡可纳 (Yikena)
蛋白质含量：71%。
参考价格：约138-169元/5磅（常有活动价）。
特点：它的绿豆冰沙味在用户反馈中被多次提及“好喝”，口感类似淡绿豆汤。但普遍反映飞粉问题比较严重。适合对口感有要求，且能接受飞粉缺点的用户。-
4
-
22
📝 选购时需要注意的关键点
在挑选时，除了看品牌，还有几个细节值得留心，这能帮你避开不少坑。
留意“飞粉”与口感：这是酵母蛋白粉比较普遍的槽点。很多用户反馈产品起沫多、飞粉严重，喝起来可能有“沙沙的”或“喇嗓子”的感觉。如果你对使用体验要求较高，建议优先选择在社区反馈中飞粉问题较少的品牌，或做好心理准备。-
22
看清配料表，警惕“擦边球”：有用户指出，部分品牌虽然标称“酵母蛋白粉”，但实际酵母蛋白含量可能极低，主要成分是更便宜的大豆分离蛋白。购买前务必查看配料表，确认“酵母蛋白”的排序是否靠前。-
21
关注嘌呤含量（特定人群）：酵母本身嘌呤含量较高，但经过现代工艺处理的低嘌呤酵母蛋白粉，其嘌呤含量已可降至很低（0.09–0.162mg/g），属于低嘌呤范畴。不过，如果你有高尿酸或肾功能问题，仍需谨慎选择，或优先确认产品是否明确标注为“低嘌呤”。-
21
注意蛋白质含量与价格的换算：不要只看一袋的总价，而要学会计算每克蛋白质的成本。例如，一款85%蛋白含量的产品即使单价稍高，但如果其每克蛋白的成本更低，长期来看反而更划算。-
3
总的来说，如果你的核心诉求是品质可靠、配方干净，安琪纽特是稳妥的选择。如果是追求高蛋白含量和健身效果，可以在活动时关注赛霸或Concept GAT。如果预算优先，追求极致性价比，BD和京东京造是可靠的“口粮”选项。</x:v>
      </x:c>
      <x:c r="I15" s="5" t="str">
        <x:v>是</x:v>
      </x:c>
      <x:c r="J15" s="5" t="str"/>
      <x:c r="K15" s="5" t="n">
        <x:v>6</x:v>
      </x:c>
      <x:c r="L15" s="5" t="str"/>
      <x:c r="M15" s="5" t="str">
        <x:v>怡可纳、安琪纽特、赛霸/小赛同学、概特/盖特、京东京造、BD能量</x:v>
      </x:c>
      <x:c r="N15" s="5" t="str">
        <x:v>顺序列举</x:v>
      </x:c>
      <x:c r="O15" s="5" t="str">
        <x:v>，它的优势在于购买路径清晰，标签信息明确，品质相对有保障，适合不想花太多时间筛选的消费者。- 3 怡可纳 (Yikena) 蛋白质含量：71%。 参考价格：约138-169元/5磅（常有活动价）。 特点：它的绿豆冰沙味在用户反馈中被多次提及“好喝”，口感类似淡绿豆汤。但普遍反映飞粉问题比较严重。适合对口感有要求，且能接受飞粉缺点的用户。- 4 - 22 📝 选购时需要注意的关键点 在挑选时，除了看品牌，还有几个细节值得留心，这能帮你避开不少坑。 留意“飞粉”与口感：这是酵母蛋白粉比较普遍的槽点。很多用户反馈产品起沫多、飞粉严重，喝起来可能</x:v>
      </x:c>
      <x:c r="P15" s="5" t="str">
        <x:v>混合</x:v>
      </x:c>
      <x:c r="Q15" s="5" t="str">
        <x:v>酵母蛋白、价格优势、口感/冲泡体验、运动/健身、专业/研发</x:v>
      </x:c>
      <x:c r="R15" s="5" t="str">
        <x:v>乳清蛋白平替？安琪酵母、好丽友都在用
页面未提供标题（引用编号）
我真的翻完了50篇帖子、1163条评论：20款酵母蛋白粉真实排名 - 今日头条
酵母蛋白粉
页面未提供标题（引用编号）
乳清蛋白涨疯了？酵母蛋白成平价新宠，实测对比谁更值_健体强身_什么值得买</x:v>
      </x:c>
      <x:c r="S15" s="5" t="str">
        <x:v>https://www.foodaily.com/articles/40621#1#1#1
http://hb.news.cn/20250326/1e2cec3bf56845f3a93c93dd13dd2297/c.html
https://m.toutiao.com/article/7668163446449504803/?upstream_biz=VolcEngine&amp;source=m_redirect&amp;wid=1788778015047&amp;upstream_biz=toutiao_pc&amp;source=m_redirect&amp;upstream_biz=toutiao_pc#1
https://bbs.hupu.com/641366547.html
https://bbs.nga.cn/read.php?tid=44532032&amp;page=e&amp;rand=493
https://post.smzdm.com/p/a5rve8g3/#1#1</x:v>
      </x:c>
      <x:c r="T15" s="5" t="str">
        <x:v>www.foodaily.com
hb.news.cn
m.toutiao.com
bbs.hupu.com
bbs.nga.cn
post.smzdm.com</x:v>
      </x:c>
      <x:c r="U15" s="5" t="str">
        <x:v>是</x:v>
      </x:c>
      <x:c r="V15" s="5" t="str"/>
      <x:c r="W15" s="5" t="str">
        <x:v>https://chat.deepseek.com/a/chat/s/4d1919ba-fc7f-439a-bbf0-e54623d4d294</x:v>
      </x:c>
      <x:c r="X15" s="5" t="n">
        <x:v>6</x:v>
      </x:c>
      <x:c r="Y15" s="5" t="str">
        <x:v>否</x:v>
      </x:c>
    </x:row>
    <x:row r="16" ht="34" customHeight="1">
      <x:c r="A16" s="5" t="str">
        <x:v>Q15</x:v>
      </x:c>
      <x:c r="B16" s="5" t="str">
        <x:v>国产运动营养品牌有哪些值得关注？</x:v>
      </x:c>
      <x:c r="C16" s="5" t="str">
        <x:v>品牌竞争</x:v>
      </x:c>
      <x:c r="D16" s="5" t="str">
        <x:v>DeepSeek</x:v>
      </x:c>
      <x:c r="E16" s="5" t="str">
        <x:v>自然</x:v>
      </x:c>
      <x:c r="F16" s="5" t="str">
        <x:v>2026/9/28 15:50:30</x:v>
      </x:c>
      <x:c r="G16" s="5" t="str">
        <x:v>有效</x:v>
      </x:c>
      <x:c r="H16" s="5" t="str">
        <x:v>目前国产运动营养品牌已经占据约70%的市场份额，值得关注的品牌大致可以分为专业竞技派、大众消费派和新锐创新派三类，各有侧重。-
-
29
🏆 专业竞技派：技术壁垒与赛事背书
这类品牌通常有深厚的研发背景，或服务于专业运动员，产品力有较强的信任背书。
康比特 (CPT)：国产运动营养的“龙头”，是北交所运动营养第一股，也是多项国家标准的起草者。它长期作为国家队供应商，专业壁垒高，产品线覆盖乳清蛋白、能量胶等，适合追求专业可靠、有规律训练习惯的用户。2024年其市占率达18%，位列本土品牌前列。-
-
12
迈胜 (M-ACTION)：蒙牛旗下的专业运动营养品牌，专注于马拉松、越野跑等耐力运动场景。其核心产品液体蛋白连续两年位居全国运动蛋白饮销售额第一，累计覆盖千万运动人次。品牌近期完成了近亿元融资，投资方包括李宁公司，在专业运动圈层发展势头强劲。-
🛒 大众消费派：高性价比与广泛认知
这类品牌通常渠道广泛，性价比高，产品设计更贴近大众日常补充需求。
诺特兰德 (Nutrend)：以高性价比和丰富的口味、规格著称，在线上渠道有很强的存在感。产品线很宽，从分离乳清到复合蛋白都有覆盖，适合预算有限或刚开始尝试蛋白粉、希望有更多口味选择的新手。-
-
1
-
2
汤臣倍健：作为膳食补充剂领域的巨头，它借助强大的品牌认知和渠道优势跨界进入运动营养市场，市占率约17%。其产品更适合将运动营养作为日常健康管理一部分的大众消费者。-
29
康恩贝：主打家庭日常的动植物双蛋白路线（大豆蛋白+乳清蛋白），口感偏豆乳感，价格亲民。适合给家里长辈或对乳清口感不太适应的人作为日常蛋白质补充。-
2
-
21
🚀 新锐创新派：精准场景与差异化配方
这些品牌往往从某个细分需求切入，在产品形态或配方上有独特之处。
元素力量：核心卖点是高蛋白密度和独立小袋包装。其分离乳清蛋白粉的成品检测蛋白质含量达87.0克/100克，且糖和脂肪含量极低。9克一袋的包装非常方便携带和定量，适合办公室、出差或轻运动后的便利补充。-
1
FoYes (赴野士)：西子健康集团旗下品牌，产品线分为“速度系列”和“精准系列”。品牌与北京体育大学有联合实验，其蛋白粉的增肌效果数据（达对照组166.67%）为其提供了一定的科研背书，适合关注产品实证效果的健身爱好者。-
43
赛霸 (CPTKING)：以大规格产品满足高频训练者的需求，并签约了奥运冠军吕小军作为代言人，在硬核健身人群中建立专业形象。品牌也参与了运动营养食品质量通则的起草工作。-
1
-
38
💡 如何根据自身情况选择？
选品牌不如先明确自己的核心需求：
追求极致便利 → 可以优先考虑 元素力量 的独立小袋装。
看重专业与信任 → 康比特 的国家队背景和标准制定者身份是重要参考。
预算敏感或喜欢尝新 → 诺特兰德 的多口味高性价比产品线值得一看。
乳糖不耐或偏好植物基 → 可以关注 双塔（启伴） 等品牌的豌豆蛋白产品，或 康恩贝 的动植物双蛋白路线。-
21
有明确科研背书偏好 → FoYes 的北体大联合实验数据可以作为决策依据之一。
总的来说，国产运动营养品牌的选择已经非常丰富。建议先明确自己的使用场景（如日常补充、训练后恢复）和身体情况（如乳糖耐受度），再针对性地比较具体产品的配料表和营养成分表，这样更容易找到最适合自己的那一款。</x:v>
      </x:c>
      <x:c r="I16" s="5" t="str">
        <x:v>否</x:v>
      </x:c>
      <x:c r="J16" s="5" t="str"/>
      <x:c r="K16" s="5" t="str"/>
      <x:c r="L16" s="5" t="str"/>
      <x:c r="M16" s="5" t="str">
        <x:v>赛霸/小赛同学、康比特、诺特兰德、汤臣倍健、FoYes/赴野士、迈胜、元素力量、康恩贝</x:v>
      </x:c>
      <x:c r="N16" s="5" t="str">
        <x:v>品牌提及/类型说明</x:v>
      </x:c>
      <x:c r="O16" s="5" t="str"/>
      <x:c r="P16" s="5" t="str"/>
      <x:c r="Q16" s="5" t="str"/>
      <x:c r="R16" s="5" t="str">
        <x:v>页面未提供标题（引用编号）
对话康比特董事长白厚增：真正的定价权来自技术壁垒与品牌信任
高蛋白粉哪个品牌好？6款国产产品蛋白含量、配方与检测解析
2026年健身新手蛋白粉品牌怎么选？6款国产产品按训练场景解析
2026年蛋白质粉哪个牌子好？6个国产品牌公开参数与配方对比_功能营养_什么值得买
页面未提供标题（引用编号）
页面未提供标题（引用编号）</x:v>
      </x:c>
      <x:c r="S16" s="5" t="str">
        <x:v>https://www.sgpjbg.com/labelsyh/yundongyingyangxingyejingzhenggeju/1/6678243.html#1
https://stcn.com/article/detail/3912630.html
http://news.miaoshou.com/news/WLMXz1jzaew1RQd5.html#1
https://xsdw.bioon.com.cn/article/ed1c307b23cf
https://post.smzdm.com/p/az86mkqr/
https://baike.baidu.com/item/FoYes/64627672?bst=1789139018.391dfca269e517ec
https://baike.baidu.com/item/%E8%B5%9B%E9%9C%B8%20CPTKING/64876295?bst=1789896745.718293b370f56cdc#1#1#1#1</x:v>
      </x:c>
      <x:c r="T16" s="5" t="str">
        <x:v>www.sgpjbg.com
stcn.com
news.miaoshou.com
xsdw.bioon.com.cn
post.smzdm.com
baike.baidu.com
baike.baidu.com</x:v>
      </x:c>
      <x:c r="U16" s="5" t="str">
        <x:v>是</x:v>
      </x:c>
      <x:c r="V16" s="5" t="str"/>
      <x:c r="W16" s="5" t="str">
        <x:v>https://chat.deepseek.com/a/chat/s/8f9f220e-5200-48c2-9879-0b1b191a093b</x:v>
      </x:c>
      <x:c r="X16" s="5" t="n">
        <x:v>7</x:v>
      </x:c>
      <x:c r="Y16" s="5" t="str">
        <x:v>否</x:v>
      </x:c>
    </x:row>
    <x:row r="17" ht="34" customHeight="1">
      <x:c r="A17" s="5" t="str">
        <x:v>Q16</x:v>
      </x:c>
      <x:c r="B17" s="5" t="str">
        <x:v>除了乳清蛋白，还有哪些适合健身人群的蛋白来源？</x:v>
      </x:c>
      <x:c r="C17" s="5" t="str">
        <x:v>品牌竞争</x:v>
      </x:c>
      <x:c r="D17" s="5" t="str">
        <x:v>DeepSeek</x:v>
      </x:c>
      <x:c r="E17" s="5" t="str">
        <x:v>自然</x:v>
      </x:c>
      <x:c r="F17" s="5" t="str">
        <x:v>2026/9/28 15:50:41</x:v>
      </x:c>
      <x:c r="G17" s="5" t="str">
        <x:v>有效</x:v>
      </x:c>
      <x:c r="H17" s="5" t="str">
        <x:v>除了乳清蛋白，健身人群可选的蛋白来源很多。核心不是“必须喝乳清”，而是：全天总蛋白够、必需氨基酸谱好、每餐有足够亮氨酸、整体饮食合理。以下按类别列：
1. 动物性优质蛋白
鸡蛋/蛋清：全蛋是参考蛋白，氨基酸谱很全；蛋清蛋白粉也是低脂选择。
禽肉：鸡胸肉、鸡腿肉去皮、火鸡胸。
红肉：瘦牛肉、牛里脊、瘦猪肉。红肉还提供铁、锌、肌酸。
鱼虾贝类：三文鱼、金枪鱼、鳕鱼、虾、贝类。三文鱼还含 Omega-3。
奶制品：希腊酸奶、茅屋芝士、牛奶、脱脂奶、奶酪。
酪蛋白：牛奶中的主要蛋白，消化慢，适合睡前或长时间不进食时。酪蛋白粉也是常见补剂。
2. 植物性蛋白
大豆类：豆腐、豆豉、毛豆、豆浆、大豆分离蛋白。大豆蛋白是植物中少见的完全蛋白，亮氨酸也较高。
豆类：扁豆、鹰嘴豆、黑豆、芸豆。可搭配谷物互补。
谷物：藜麦、荞麦、燕麦。单独看蛋白质质量一般，但可作补充。
面筋/小麦蛋白：Seitan 蛋白质很高，但赖氨酸偏低，最好搭配豆类。
植物蛋白粉：豌豆蛋白、大米蛋白、火麻蛋白。豌豆+大米是常见互补组合，氨基酸谱更接近完全蛋白。
其他：花生、坚果、种子可补充少量蛋白，但通常脂肪较高，不适合作为主要蛋白来源。
3. 其他补剂型蛋白
蛋清蛋白粉：低脂、低乳糖，适合乳糖不耐受者。
牛肉蛋白粉：氨基酸谱好，但价格通常较高。
植物混合蛋白粉：适合素食者或乳糖不耐受者。
胶原蛋白/明胶：不是完全蛋白，缺乏色氨酸，不建议作为主要蛋白来源，只能辅助。
简单选择建议
训练后/加餐：乳清、蛋清蛋白、大豆分离蛋白、豌豆+大米蛋白都可以。
睡前：酪蛋白、希腊酸奶、茅屋芝士。
乳糖不耐受：分离乳清、蛋清蛋白、植物蛋白。
素食者：大豆制品、豌豆+大米蛋白、豆类+谷物搭配。
预算有限：鸡蛋、鸡胸、金枪鱼罐头、豆腐、豆类、牛奶/奶粉。
关键原则：每公斤体重每天约 1.6–2.2 g 蛋白质，分到 3–5 餐，每餐 20–40 g 优质蛋白，比纠结“是不是乳清”更重要。若你有素食、乳糖不耐、过敏或肾病等情况，可以再具体搭配。</x:v>
      </x:c>
      <x:c r="I17" s="5" t="str">
        <x:v>否</x:v>
      </x:c>
      <x:c r="J17" s="5" t="str"/>
      <x:c r="K17" s="5" t="str"/>
      <x:c r="L17" s="5" t="str"/>
      <x:c r="M17" s="5" t="str"/>
      <x:c r="N17" s="5" t="str">
        <x:v>类型建议或无品牌</x:v>
      </x:c>
      <x:c r="O17" s="5" t="str"/>
      <x:c r="P17" s="5" t="str"/>
      <x:c r="Q17" s="5" t="str"/>
      <x:c r="R17" s="5" t="str"/>
      <x:c r="S17" s="5" t="str"/>
      <x:c r="T17" s="5" t="str"/>
      <x:c r="U17" s="5" t="str">
        <x:v>否</x:v>
      </x:c>
      <x:c r="V17" s="5" t="str"/>
      <x:c r="W17" s="5" t="str">
        <x:v>https://chat.deepseek.com/a/chat/s/f289be8d-6f1a-49b3-988b-4f38438bf530</x:v>
      </x:c>
      <x:c r="X17" s="5" t="n">
        <x:v>0</x:v>
      </x:c>
      <x:c r="Y17" s="5" t="str">
        <x:v>否</x:v>
      </x:c>
    </x:row>
    <x:row r="18" ht="34" customHeight="1">
      <x:c r="A18" s="5" t="str">
        <x:v>Q17</x:v>
      </x:c>
      <x:c r="B18" s="5" t="str">
        <x:v>怡可纳是什么品牌？</x:v>
      </x:c>
      <x:c r="C18" s="5" t="str">
        <x:v>主动认知</x:v>
      </x:c>
      <x:c r="D18" s="5" t="str">
        <x:v>DeepSeek</x:v>
      </x:c>
      <x:c r="E18" s="5" t="str">
        <x:v>主动</x:v>
      </x:c>
      <x:c r="F18" s="5" t="str">
        <x:v>2026/9/28 15:50:49</x:v>
      </x:c>
      <x:c r="G18" s="5" t="str">
        <x:v>有效</x:v>
      </x:c>
      <x:c r="H18" s="5" t="str">
        <x:v>“怡可纳”是一个国产运动营养食品品牌，由济南怡能食品科技有限公司运营，主营酵母蛋白粉等健身补剂和健康食品-
2
。
🏢 品牌归属与定位
运营公司：济南怡能食品科技有限公司，成立于2021年，注册资本2000万元-
-
2
。
品牌定位：自主研发和销售的运动营养品牌，强调“为健康赋能”，产品主要通过抖音、京东、天猫等电商平台销售-
2
。
📦 主要产品线
产品覆盖健身补剂、健康零食和大众营养三大类-
2
：
健身补剂：酵母蛋白粉、肌酸、β丙氨酸、氮泵等。
健康食品：318高因黑咖啡、黑巧类零食、吐司面包、益生菌等-
2
。
⚠️ 相关争议
该品牌曾因虚假宣传被市场监管部门处罚。2025年12月，其主播在直播间宣称产品“更适合国人体质”、“国内首家做酵母蛋白粉”、“拥有一万平研发基地和专业硕博团队”等，但公司无法提供任何证明材料。2026年3月，济南市章丘区市场监督管理局对其作出罚款8万元的行政处罚-
1
。</x:v>
      </x:c>
      <x:c r="I18" s="5" t="str">
        <x:v>不适用</x:v>
      </x:c>
      <x:c r="J18" s="5" t="str"/>
      <x:c r="K18" s="5" t="str"/>
      <x:c r="L18" s="5" t="str"/>
      <x:c r="M18" s="5" t="str">
        <x:v>怡可纳</x:v>
      </x:c>
      <x:c r="N18" s="5" t="str">
        <x:v>主动品牌认知</x:v>
      </x:c>
      <x:c r="O18" s="5" t="str">
        <x:v>“怡可纳”是一个国产运动营养食品品牌，由济南怡能食品科技有限公司运营，主营酵母蛋白粉等健身补剂和健康食品- 2 。 🏢 品牌归属与定位 运营公司：济南怡能食品科技有限公司，成立于2021年，注册资本2000万元- - 2 。 品牌定位：自主研发和销售的运动营养品牌，强调“为健康赋能”，产品主要通过抖音、京东、天猫等电商平台销售- 2 。 📦 主要产品线 产品覆盖健身补剂、健康零食和大众营养三大类- 2 ： 健身补剂：酵母蛋白粉、肌酸、β丙氨酸</x:v>
      </x:c>
      <x:c r="P18" s="5" t="str">
        <x:v>混合</x:v>
      </x:c>
      <x:c r="Q18" s="5" t="str">
        <x:v>酵母蛋白、运动/健身、专业/研发</x:v>
      </x:c>
      <x:c r="R18" s="5" t="str">
        <x:v>泉康生物：致力成为复配食品科技行业的领跑者
虚假宣传“怡可纳”！济南怡能食品科技有限公司被罚8万元</x:v>
      </x:c>
      <x:c r="S18" s="5" t="str">
        <x:v>http://spcjh.com/index.php?id=278
http://m.qlwb.com.cn/detail/27404110.html</x:v>
      </x:c>
      <x:c r="T18" s="5" t="str">
        <x:v>spcjh.com
m.qlwb.com.cn</x:v>
      </x:c>
      <x:c r="U18" s="5" t="str">
        <x:v>是</x:v>
      </x:c>
      <x:c r="V18" s="5" t="str"/>
      <x:c r="W18" s="5" t="str">
        <x:v>https://chat.deepseek.com/a/chat/s/441bd710-e0ee-4835-8a49-ae054630f3a5</x:v>
      </x:c>
      <x:c r="X18" s="5" t="n">
        <x:v>2</x:v>
      </x:c>
      <x:c r="Y18" s="5" t="str">
        <x:v>否</x:v>
      </x:c>
    </x:row>
    <x:row r="19" ht="34" customHeight="1">
      <x:c r="A19" s="5" t="str">
        <x:v>Q18</x:v>
      </x:c>
      <x:c r="B19" s="5" t="str">
        <x:v>怡可纳蛋白粉怎么样？</x:v>
      </x:c>
      <x:c r="C19" s="5" t="str">
        <x:v>主动认知</x:v>
      </x:c>
      <x:c r="D19" s="5" t="str">
        <x:v>DeepSeek</x:v>
      </x:c>
      <x:c r="E19" s="5" t="str">
        <x:v>主动</x:v>
      </x:c>
      <x:c r="F19" s="5" t="str">
        <x:v>2026/9/28 15:51:04</x:v>
      </x:c>
      <x:c r="G19" s="5" t="str">
        <x:v>有效</x:v>
      </x:c>
      <x:c r="H19" s="5" t="str">
        <x:v>怡可纳蛋白粉是一款以极致低价为核心卖点的酵母蛋白粉。它的定位非常清晰：为预算有限、对口感要求不高，或因乳糖不耐受而需要替代品的用户，提供一个基础的蛋白质补充方案。但它的短板和潜在风险也同样突出。
📝 产品定位与成分
怡可纳蛋白粉的产品类型为“固体饮料”，而非严格意义上的“运动营养食品”-
12
。其主要成分是酵母蛋白，而非传统的乳清蛋白或大豆蛋白。
从营养成分来看，它的蛋白质含量数据尚可。以部分口味为例，每100g产品约含71g蛋白质，这个比例在蛋白粉中属于中等水平。配料表相对简单，主要包括酵母蛋白、食用香精和三氯蔗糖（一种代糖）。-
12
👍 主要优点：价格与特定人群友好
极致的性价比：这是它最突出的优势。其5磅（约2.27kg）装的产品，在活动期间价格常能低至140元左右，折合每磅仅30元左右，远低于主流乳清蛋白粉的价格。在健身社区中，用户普遍认同其“价格是真的便宜”、“性价比挺高的”。-
-
23
乳糖不耐受的替代选择：由于是酵母蛋白，它不含乳糖，为乳糖不耐受的健身人群提供了一个不会引起肠胃不适（如胀气）的蛋白质来源。有用户表示，喝它“没有乳清蛋白那种闻着就想吐的感觉”-
6
。
👎 主要缺点：口感与使用体验的妥协
酵母蛋白本身的特性，加上成本限制，导致其在使用体验上存在普遍槽点。
口感与冲泡体验欠佳：多个用户反馈其溶解性较差，需要更长时间摇晃，且容易飞粉。冲泡后粉感重、泡沫多，口感被形容为“像糊糊”，有时还会尝到苦味。虽然部分口味（如绿豆沙、草莓）评价尚可，但整体口碑不如乳清蛋白。-
4
-
吸收速度较慢：酵母蛋白的消化吸收速度比乳清蛋白慢。如果你追求训练后快速补充，它可能不是最佳选择，更适合作为日常或两餐之间的蛋白质补充。-
⚠️ 不容忽视的质量与安全争议
这是选择怡可纳时需要重点考量的风险因素。公开的投诉平台和监管信息显示，该品牌存在一些严重问题。
食品安全问题频发：在黑猫投诉等平台，有多起关于在蛋白粉中发现虫子、头发等异物的投诉。有用户反映在食用一段时间后，在桶底挖出与蛋白粉结块的虫子，而商家处理态度消极。-
-
17
虚假宣传被处罚：根据公开信息，怡可纳的生产商“济南怡能食品科技有限公司”曾因虚假宣传行为，被市场监督管理部门罚款8万元-
。
对特定人群的健康风险：
高尿酸/痛风人群需警惕：由于是酵母来源，其嘌呤含量可能较高。有用户明确提示“尿酸高了估计不能喝”，也有投诉称饮用后导致尿酸升高。如果你有相关健康问题，应避免使用。-
4
产品标签存疑：有用户注意到，其桶身标注的是“蛋白粉固体饮料”，因此质疑它是否能作为传统健身补剂的有效替代品-
6
。
💎 总结与建议
怡可纳蛋白粉是一个优缺点都极其鲜明的产品。它用极低的价格，换取了在口感、溶解度和品控上的妥协。
它可能适合你，如果你：
预算极其有限，将性价比放在首位。
是乳糖不耐受者，无法饮用乳清蛋白。
对蛋白粉的口感、溶解度要求不高，只将其视为一种基础的营养补充，而非享受。
没有高尿酸或痛风等代谢问题。
你需要谨慎考虑，如果你：
重视食品安全和品控，无法接受可能存在的异物风险。
追求良好的口感和使用体验，希望蛋白粉易于冲泡、味道宜人。
需要训练后快速补充蛋白质。
有高尿酸、痛风等相关健康问题。
如果你的预算允许，且没有乳糖不耐受的问题，选择一款口碑稳定、品控更严格的乳清蛋白粉，通常是更稳妥的选择。如果决定尝试怡可纳，建议通过官方旗舰店等正规渠道购买，并在收货后仔细检查产品状态。</x:v>
      </x:c>
      <x:c r="I19" s="5" t="str">
        <x:v>不适用</x:v>
      </x:c>
      <x:c r="J19" s="5" t="str"/>
      <x:c r="K19" s="5" t="str"/>
      <x:c r="L19" s="5" t="str"/>
      <x:c r="M19" s="5" t="str">
        <x:v>怡可纳</x:v>
      </x:c>
      <x:c r="N19" s="5" t="str">
        <x:v>主动品牌认知</x:v>
      </x:c>
      <x:c r="O19" s="5" t="str">
        <x:v>怡可纳蛋白粉是一款以极致低价为核心卖点的酵母蛋白粉。它的定位非常清晰：为预算有限、对口感要求不高，或因乳糖不耐受而需要替代品的用户，提供一个基础的蛋白质补充方案。但它的短板和潜在风险也同样突出。 📝 产品定位与成分 怡可纳蛋白粉的产品类型为“固体饮料”，而非严格意义上的“运动营养食品”- 12 。其主要成分是酵母蛋白，而非传统的乳清蛋白或大豆蛋白。 从营养成分来看，它的蛋白质含量数据尚可。以部分口味为例，每100g产品约含71g蛋白质，这个比例在蛋</x:v>
      </x:c>
      <x:c r="P19" s="5" t="str">
        <x:v>混合</x:v>
      </x:c>
      <x:c r="Q19" s="5" t="str">
        <x:v>酵母蛋白、价格优势、乳糖不耐场景、口感/冲泡体验、运动/健身</x:v>
      </x:c>
      <x:c r="R19" s="5" t="str">
        <x:v>商品怡可纳 酵母蛋白粉 草莓味 2.27kg 桶装+摇摇杯
页面未提供标题（引用编号）
这款蛋白粉也太好喝咯
买了桶便宜的怡可纳酵母蛋白粉
抖音商城怡可纳店蛋白粉藏虫，请求还消费者公道！</x:v>
      </x:c>
      <x:c r="S19" s="5" t="str">
        <x:v>https://wiki.smzdm.com/p/o81og88/
https://www.smzdm.com/p/178578732/
https://m.shihuo.cn/page/findCommunityDetail?id=5253459
https://post.smzdm.com/talk/p/a44m83ow/#comments
https://tousu.sina.cn/complaint/view/17385194967?sld=889b1e1f11972245cd9779bf10584cec&amp;&amp;&amp;vt=4</x:v>
      </x:c>
      <x:c r="T19" s="5" t="str">
        <x:v>wiki.smzdm.com
www.smzdm.com
m.shihuo.cn
post.smzdm.com
tousu.sina.cn</x:v>
      </x:c>
      <x:c r="U19" s="5" t="str">
        <x:v>是</x:v>
      </x:c>
      <x:c r="V19" s="5" t="str"/>
      <x:c r="W19" s="5" t="str">
        <x:v>https://chat.deepseek.com/a/chat/s/e19fc072-294f-4bed-a8cc-77f1acc63a40</x:v>
      </x:c>
      <x:c r="X19" s="5" t="n">
        <x:v>5</x:v>
      </x:c>
      <x:c r="Y19" s="5" t="str">
        <x:v>否</x:v>
      </x:c>
    </x:row>
    <x:row r="20" ht="34" customHeight="1">
      <x:c r="A20" s="5" t="str">
        <x:v>Q19</x:v>
      </x:c>
      <x:c r="B20" s="5" t="str">
        <x:v>怡可纳酵母蛋白值得买吗？</x:v>
      </x:c>
      <x:c r="C20" s="5" t="str">
        <x:v>主动认知</x:v>
      </x:c>
      <x:c r="D20" s="5" t="str">
        <x:v>DeepSeek</x:v>
      </x:c>
      <x:c r="E20" s="5" t="str">
        <x:v>主动</x:v>
      </x:c>
      <x:c r="F20" s="5" t="str">
        <x:v>2026/9/28 15:55:47</x:v>
      </x:c>
      <x:c r="G20" s="5" t="str">
        <x:v>有效</x:v>
      </x:c>
      <x:c r="H20" s="5" t="str">
        <x:v>怡可纳酵母蛋白是否值得买，答案很明确：如果你追求极致性价比，且对口感不挑剔，它值得尝试；但如果你看重口感、溶解度和品牌可靠性，它可能不是最佳选择。
下面我从几个关键维度帮你具体分析一下。
📊 核心优势：极致的性价比
怡可纳最大的吸引力在于其极低的价格。5磅（约2.27kg）的大桶装，日常好价通常在 148元至169元 之间-
-
。其蛋白质含量为71g/100g，达到了酵母蛋白的常规水平-
1
-
19
。
作为对比，同等规格的乳清蛋白粉价格通常在300元以上。对于需要长期大量补充蛋白质，但又预算有限的人来说，这个价格确实很有吸引力-
。
⚠️ 需要接受的缺点：口感和冲泡体验
关于怡可纳酵母蛋白的负面反馈，几乎都集中在感官体验上，这也是它便宜的主要原因。
飞粉与粉感重：多位用户提到它“会飞粉”，冲泡后“粉感重”，口感像“糊糊”-
1
-
19
。
可能粘嗓子或喇嗓子：部分评价指出它“有点粘嗓子”或“喇嗓子”-
。
风味评价两极：绿豆沙/绿豆冰沙味是好评度最高的口味，被形容为“像淡一点的绿豆汤”或“冰镇绿豆沙”-
-
1
。草莓味则被描述为“偏粉、泡沫比较多”-
2
。味道可能偏淡，且喝多了会有苦味-
-
1
。
溶解度一般：虽然部分用户觉得容易泡开，但普遍反映需要更长时间摇晃，且泡沫较多-
-
2
。
🔍 需要留意的潜在问题
除了口感，还有一些关于产品定位和安全的反馈值得你关注。
产品定位模糊：有用户发现产品包装上标注的是“蛋白粉固体饮料”，而非“蛋白粉”。这引发了对其作为健身补剂效果的疑虑，可能更偏向于日常营养饮品-
-
2
。
关于嘌呤的争议：有用户反馈饮用后尿酸升高，并在投诉平台要求退货-
。尽管有科普文章称酵母蛋白的嘌呤含量经过处理已与鸡肉、基围虾相当，且临床研究未显示会导致高血尿酸，但考虑到个体差异和已有的投诉案例，如果你本身尿酸偏高或有痛风风险，建议谨慎选择或先咨询医生-
-
。
品控与售后投诉：黑猫投诉平台上有关于产品中发现虫子且商家售后态度不佳的投诉记录，以及关于商品破损和客服响应慢的投诉-
。
👥 它最适合谁？
综合来看，怡可纳酵母蛋白最适合以下人群：
预算极其有限的学生党或新手：想体验蛋白粉，但不想投入太多，对口感容忍度高。
乳糖不耐受者：酵母蛋白不含乳糖，饮用后不会引起肠胃不适，这是它的一大优势-
-
2
。
仅用于日常基础蛋白质补充：如果你不追求极致的吸收速度（如高强度训练后的快速恢复），只是想在饮食中额外增加一些蛋白质摄入，它能以最低成本完成任务。
💎 总结
怡可纳酵母蛋白是一个用口感换取价格的典型产品。它的出现，为蛋白粉市场提供了一个非常便宜的“平替”选择。如果你的核心诉求是“花最少的钱，补最多的蛋白”，并且能接受它冲泡后略显粗糙的口感，那么它值得一试。但如果你享受喝蛋白粉的过程，或者对食品安全和品牌售后有较高要求，那么积攒预算选择一款主流乳清蛋白粉，可能会是更省心的选择。</x:v>
      </x:c>
      <x:c r="I20" s="5" t="str">
        <x:v>不适用</x:v>
      </x:c>
      <x:c r="J20" s="5" t="str"/>
      <x:c r="K20" s="5" t="str"/>
      <x:c r="L20" s="5" t="str"/>
      <x:c r="M20" s="5" t="str">
        <x:v>怡可纳</x:v>
      </x:c>
      <x:c r="N20" s="5" t="str">
        <x:v>主动品牌认知</x:v>
      </x:c>
      <x:c r="O20" s="5" t="str">
        <x:v>怡可纳酵母蛋白是否值得买，答案很明确：如果你追求极致性价比，且对口感不挑剔，它值得尝试；但如果你看重口感、溶解度和品牌可靠性，它可能不是最佳选择。 下面我从几个关键维度帮你具体分析一下。 📊 核心优势：极致的性价比 怡可纳最大的吸引力在于其极低的价格。5磅（约2.27kg）的大桶装，日常好价通常在 148元至169元 之间- - 。其蛋白质含量为71g/100g，达到了酵母蛋白的常规水平- 1 - 19 。 作为对比，同等规格的乳清蛋白粉价格通常</x:v>
      </x:c>
      <x:c r="P20" s="5" t="str">
        <x:v>混合</x:v>
      </x:c>
      <x:c r="Q20" s="5" t="str">
        <x:v>酵母蛋白、价格优势、乳糖不耐场景、口感/冲泡体验、运动/健身</x:v>
      </x:c>
      <x:c r="R20" s="5" t="str">
        <x:v>买了桶便宜的怡可纳酵母蛋白粉
页面未提供标题（引用编号）
这款蛋白粉也太好喝咯</x:v>
      </x:c>
      <x:c r="S20" s="5" t="str">
        <x:v>https://post.smzdm.com/talk/p/a44m83ow/#comments
https://zhuanlan.zhihu.com/p/2044740073569179012?utm_medium=openapi_platform&amp;utm_source=e10c3ad29e50#1
https://m.shihuo.cn/page/findCommunityDetail?id=5253459</x:v>
      </x:c>
      <x:c r="T20" s="5" t="str">
        <x:v>post.smzdm.com
zhuanlan.zhihu.com
m.shihuo.cn</x:v>
      </x:c>
      <x:c r="U20" s="5" t="str">
        <x:v>是</x:v>
      </x:c>
      <x:c r="V20" s="5" t="str"/>
      <x:c r="W20" s="5" t="str">
        <x:v>https://chat.deepseek.com/a/chat/s/c1ccde14-4067-46c6-a6c7-003fd2ce2654</x:v>
      </x:c>
      <x:c r="X20" s="5" t="n">
        <x:v>3</x:v>
      </x:c>
      <x:c r="Y20" s="5" t="str">
        <x:v>否</x:v>
      </x:c>
    </x:row>
    <x:row r="21" ht="34" customHeight="1">
      <x:c r="A21" s="5" t="str">
        <x:v>Q20</x:v>
      </x:c>
      <x:c r="B21" s="5" t="str">
        <x:v>怡可纳和其他蛋白粉品牌相比有什么特点？</x:v>
      </x:c>
      <x:c r="C21" s="5" t="str">
        <x:v>主动认知</x:v>
      </x:c>
      <x:c r="D21" s="5" t="str">
        <x:v>DeepSeek</x:v>
      </x:c>
      <x:c r="E21" s="5" t="str">
        <x:v>主动</x:v>
      </x:c>
      <x:c r="F21" s="5" t="str">
        <x:v>2026/9/28 15:56:56</x:v>
      </x:c>
      <x:c r="G21" s="5" t="str">
        <x:v>有效</x:v>
      </x:c>
      <x:c r="H21" s="5" t="str">
        <x:v>怡可纳（YIKENA）蛋白粉最显著的特点，是它以酵母蛋白为核心，主打极致的性价比，尤其适合乳糖不耐受或预算有限的健身人群。但它也存在飞粉严重、部分批次品控不稳定等明显短板。
🧬 核心特点：酵母蛋白 vs. 传统乳清蛋白
怡可纳与市面上主流的乳清蛋白粉品牌（如ON、肌肉科技、熊猫等）最大的不同，在于其蛋白质来源。
来源与价格：怡可纳的酵母蛋白通过微生物发酵生产，不依赖奶源，成本远低于受供应链和需求影响而价格高企的乳清蛋白。其终端售价普遍仅为同规格乳清蛋白的1/3到1/2。例如，有用户提到5磅装领券后价格在148元左右，而主流乳清蛋白粉5磅装通常在600元以上。-
16
-
适用人群：由于不含乳糖，它对乳糖不耐受、喝乳清容易腹胀或肠胃敏感的人群非常友好。同时，它也不含麸质和大豆异黄酮，对素食倾向者更友好。-
-
消化与代谢：酵母蛋白的GI值（26.4）显著低于乳清蛋白（40-60），更适合控糖人群。在消化率上，酵母蛋白的真实消化率（92.5%–97.7%）甚至略高于乳清蛋白（90%–92%）。但需特别注意，部分酵母蛋白粉的嘌呤含量可能较高，有用户明确提醒“尿酸高了估计不能喝”。-
-
16
📊 产品参数与用户反馈
蛋白质含量：怡可纳酵母蛋白粉的蛋白质含量约为71g/100g，符合国家“不低于70g/100g”的要求，但低于市面上一些蛋白含量达80%以上的高端产品。-
-
16
口味：绿豆沙味是其最出圈的特色，被很多用户评价为“像冰镇绿豆汤”，此外还有草莓、香草等口味。不过，有用户反映喝多了会有一点苦味。-
2
溶解与口感：飞粉严重和泡沫多是用户反馈最集中的问题。产品说明也提示“溶解稍差”，建议静置几分钟减少泡沫。有用户觉得口感“沙沙的”，但也有人反馈兑水后会出现块状沉淀物。作为对比，乳清蛋白通常溶解更快、口感更顺滑。-
-
品控与安全：网络上有用户投诉在怡可纳蛋白粉中发现虫子，以及饮用后出现胃部胀痛、痉挛等不适情况，表明其品控可能存在一定波动。-
💡 选购建议
怡可纳适合你，如果：
你预算非常有限，想寻找乳清蛋白的平价替代品。
你乳糖不耐受，喝牛奶或乳清蛋白会肠胃不适。
你想尝试绿豆沙等新奇口味，对口感的要求高于对溶解度的要求。
你没有高尿酸或痛风风险。
你可能需要谨慎，如果：
你追求极致的溶解度和口感，不希望有飞粉和泡沫的困扰。
你对品控和食品安全有较高要求，介意用户反馈的异物或不适问题。
你有高尿酸或痛风病史，需要严格控制嘌呤摄入。
总的来说，怡可纳蛋白粉是一款定位非常清晰的性价比之选，它牺牲了一部分使用体验（溶解、口感、品控）来换取极低的价格和独特的酵母蛋白配方。你可以根据自己的预算和身体状况来权衡选择。</x:v>
      </x:c>
      <x:c r="I21" s="5" t="str">
        <x:v>不适用</x:v>
      </x:c>
      <x:c r="J21" s="5" t="str"/>
      <x:c r="K21" s="5" t="str"/>
      <x:c r="L21" s="5" t="str"/>
      <x:c r="M21" s="5" t="str">
        <x:v>怡可纳、ON/欧普特蒙、肌肉科技</x:v>
      </x:c>
      <x:c r="N21" s="5" t="str">
        <x:v>主动品牌认知</x:v>
      </x:c>
      <x:c r="O21" s="5" t="str">
        <x:v>怡可纳（YIKENA）蛋白粉最显著的特点，是它以酵母蛋白为核心，主打极致的性价比，尤其适合乳糖不耐受或预算有限的健身人群。但它也存在飞粉严重、部分批次品控不稳定等明显短板。 🧬 核心特点：酵母蛋白 vs. 传统乳清蛋白 怡可纳与市面上主流的乳清蛋白粉品牌（如ON、肌肉科技、熊猫等）最大的不同，在于其蛋白质来源。 来源与价格：怡可纳的酵母蛋白通过微生物发酵生产，不依赖奶源，成本远低于受供应链和需求影响而价格高企的乳清蛋白。其终端售价普遍仅为同规格乳清</x:v>
      </x:c>
      <x:c r="P21" s="5" t="str">
        <x:v>混合</x:v>
      </x:c>
      <x:c r="Q21" s="5" t="str">
        <x:v>酵母蛋白、价格优势、乳糖不耐场景、口感/冲泡体验、运动/健身</x:v>
      </x:c>
      <x:c r="R21" s="5" t="str">
        <x:v>乳清蛋白涨疯了？酵母蛋白成平价新宠，实测对比谁更值_健体强身_什么值得买
买了桶便宜的怡可纳酵母蛋白粉</x:v>
      </x:c>
      <x:c r="S21" s="5" t="str">
        <x:v>https://post.smzdm.com/p/a5rve8g3/#1#1
https://post.smzdm.com/talk/p/a44m83ow/#comments</x:v>
      </x:c>
      <x:c r="T21" s="5" t="str">
        <x:v>post.smzdm.com
post.smzdm.com</x:v>
      </x:c>
      <x:c r="U21" s="5" t="str">
        <x:v>是</x:v>
      </x:c>
      <x:c r="V21" s="5" t="str"/>
      <x:c r="W21" s="5" t="str">
        <x:v>https://chat.deepseek.com/a/chat/s/4bd18822-1881-4397-9036-025dc9d96ddf</x:v>
      </x:c>
      <x:c r="X21" s="5" t="n">
        <x:v>2</x:v>
      </x:c>
      <x:c r="Y21" s="5" t="str">
        <x:v>否</x:v>
      </x:c>
    </x:row>
    <x:row r="22" ht="34" customHeight="1">
      <x:c r="A22" s="5" t="str">
        <x:v>Q1</x:v>
      </x:c>
      <x:c r="B22" s="5" t="str">
        <x:v>酵母蛋白是什么？</x:v>
      </x:c>
      <x:c r="C22" s="5" t="str">
        <x:v>品类认知</x:v>
      </x:c>
      <x:c r="D22" s="5" t="str">
        <x:v>豆包</x:v>
      </x:c>
      <x:c r="E22" s="5" t="str">
        <x:v>自然</x:v>
      </x:c>
      <x:c r="F22" s="5" t="str">
        <x:v>2026/9/28 15:21:47</x:v>
      </x:c>
      <x:c r="G22" s="5" t="str">
        <x:v>有效</x:v>
      </x:c>
      <x:c r="H22" s="5" t="str">
        <x:v>酵母蛋白
酵母蛋白是以酿酒酵母（面包 / 啤酒用酵母）为菌种，发酵培养后，经破壁、酶解、脱核酸、分离提纯、干燥得到的微生物完全蛋白（单细胞蛋白 SCP），属于新食品原料。
✅ 核心营养特点
全价蛋白：含全部 9 种人体必需氨基酸，PDCAAS=1.0，氨基酸模式对标 FAO 理想标准，和乳清蛋白接近，蛋白质含量≥70%，高的可达 80%+中国食品工...
附带复合营养：天然带有 B 族维生素、锌、硒、β- 葡聚糖、甘露聚糖（酵母细胞壁多糖，有益肠道），无胆固醇、几乎不含饱和脂肪
低致敏：不含乳、大豆、坚果类常见过敏原，适合乳蛋白不耐受人群；水解酵母蛋白是进一步酶解成小分子肽，溶解性更好、吸收更快，就是怡可纳那款原料用的类型
🧪 生产逻辑
在发酵罐里培养酿酒酵母，酵母增殖富集菌体，再破壁把蛋白释放出来，去掉多余核酸、细胞壁杂质，干燥成浅米黄色粉末。
区别：酵母提取物更多用来提呈味氨基酸（鲜味）；酵母蛋白目标是高蛋白质含量，主打营养补充。
📌 应用场景
运动营养蛋白粉、蛋白饮料、代餐、老年营养、特医食品、素肉、烘焙。
优势：发酵生产，不占用大量耕地，水耗、碳排放远低于动物蛋白。
⚠️ 小提醒
酵母本身含有核酸，工业化酵母蛋白会做脱核酸处理；未脱核酸的酵母菌体，大量长期吃会升高血尿酸，食品级酵母蛋白成品已经控制该指标。
如果你需要，我可以对比：酵母蛋白 vs 乳清蛋白 vs 大豆蛋白的配方、成本、口感、合规差异。</x:v>
      </x:c>
      <x:c r="I22" s="5" t="str">
        <x:v>是</x:v>
      </x:c>
      <x:c r="J22" s="5" t="str"/>
      <x:c r="K22" s="5" t="str"/>
      <x:c r="L22" s="5" t="str"/>
      <x:c r="M22" s="5" t="str">
        <x:v>怡可纳</x:v>
      </x:c>
      <x:c r="N22" s="5" t="str">
        <x:v>品牌提及/类型说明</x:v>
      </x:c>
      <x:c r="O22" s="5" t="str">
        <x:v>果类常见过敏原，适合乳蛋白不耐受人群；水解酵母蛋白是进一步酶解成小分子肽，溶解性更好、吸收更快，就是怡可纳那款原料用的类型 🧪 生产逻辑 在发酵罐里培养酿酒酵母，酵母增殖富集菌体，再破壁把蛋白释放出来，去掉多余核酸、细胞壁杂质，干燥成浅米黄色粉末。 区别：酵母提取物更多用来提呈味氨基酸（鲜味）；酵母蛋白目标是高蛋白质含量，主打营养补充。 📌 应用场景 运动营养蛋白粉、蛋白饮料、代餐、老年营养、特医食品、素肉、烘焙。 优势：发酵生产，不占用大量耕地，水耗、碳排放远低于动物蛋白。 ⚠️ 小提醒 酵母本身含有核酸，工业化酵母蛋白会做脱核酸处理；未脱核酸的酵</x:v>
      </x:c>
      <x:c r="P22" s="5" t="str">
        <x:v>中性</x:v>
      </x:c>
      <x:c r="Q22" s="5" t="str">
        <x:v>酵母蛋白、口感/冲泡体验、运动/健身</x:v>
      </x:c>
      <x:c r="R22" s="5" t="str">
        <x:v>1.
酵母蛋白 Q/YPX 0007S—2023
2.
酵母蛋白，补充蛋白质的新选择_澎湃号·湃客_澎湃新闻-The Paper
3.
第二届酵母蛋白国际研讨会释放重磅信号
4.
图文详情——科普中国资源服务
5.
酵母蛋白
6.
中国人缺蛋白，凭什么怪米饭?-36氪
7.
不同 酵母 和 酵母 蛋白 的 生产 与 应用 及 蛋白 合成 调控 规律 研究 进展
8.
食品 科技
9.
Yeast Protein as an Easily Accessible Food Source - PMC
10.
安琪 纽特
11.
Hydrolyzed Yeast Protein Infant Food Nutrition Fortified Small Molecule Easily Absorbable Food Grade - Food Stabilizers and Coagulators, Nutrient Substance | Made-in-China.com
12.
Yeast extract | Pars Tamara | Production of food industry additives
13.
Yeast Peptides Powder | Saccharomyces Cerevisiae Extract Protein Ingredient
14.
酵母 水解物
15.
China Customized Hydrolyzed Yeast Protein Powder Manufacturers Suppliers - Low Price - Land Nutra
16.
q / aqjm 2611 s - 2026 水解 酵母 蛋白 _ 食品 安全 企业 标准 _ 国内 标准 _ 食品 标准 _ 食品 伙伴 网 下载 中心</x:v>
      </x:c>
      <x:c r="S22" s="5" t="str">
        <x:v>https://wsjkw.gxzf.gov.cn/spaqyyyzs_49672/spaqqybz/spaqqybzbaqgs/P020230614520618735637.pdf
https://www.thepaper.cn/newsDetail_forward_31841581
https://www.peopleapp.com/rmharticle/30052018615
https://cloud.kepuchina.cn/h5/detail?id=7435465223417085952
https://yinqiyeast.com/productdel/id/25.html
https://m.36kr.com/p/3568171709348739
https://www.sciopen.com/local/article_pdf/10.7506/spkx1002-6630-20250918-143.pdf
https://sspj.cbpt.cnki.net/WKE/WebPublication/wkTextContent.aspx?contentID=852f8c0d-2e80-41ca-a934-cdbbf88b28a3
https://pmc.ncbi.nlm.nih.gov/articles/PMC8780597/
https://www.angelnutritech.com/zh/news/372.html
https://m.made-in-china.com/product/Hydrolyzed-Yeast-Protein-Infant-Food-Nutrition-Fortified-Small-Molecule-Easily-Absorbable-Food-Grade-1979522821.html
https://www.parstamara.com/en/yeast-extract/
http://www.bulkbetaglucan.com/product/yeast-peptides.html
https://www.yinqiyeast.com/productdel/id/20.html
https://www.landnutra-ingredients.com/cosmetic-ingredients/hydrolyzed-yeast-protein-powder.html
http://down.foodmate.net/standard/sort/19/175914.html</x:v>
      </x:c>
      <x:c r="T22" s="5" t="str">
        <x:v>wsjkw.gxzf.gov.cn
www.thepaper.cn
www.peopleapp.com
cloud.kepuchina.cn
yinqiyeast.com
m.36kr.com
www.sciopen.com
sspj.cbpt.cnki.net
pmc.ncbi.nlm.nih.gov
www.angelnutritech.com
m.made-in-china.com
www.parstamara.com
www.bulkbetaglucan.com
www.yinqiyeast.com
www.landnutra-ingredients.com
down.foodmate.net</x:v>
      </x:c>
      <x:c r="U22" s="5" t="str">
        <x:v>是</x:v>
      </x:c>
      <x:c r="V22" s="5" t="str"/>
      <x:c r="W22" s="5" t="str">
        <x:v>https://www.doubao.com/chat/38444444736898562</x:v>
      </x:c>
      <x:c r="X22" s="5" t="n">
        <x:v>16</x:v>
      </x:c>
      <x:c r="Y22" s="5" t="str">
        <x:v>否</x:v>
      </x:c>
    </x:row>
    <x:row r="23" ht="34" customHeight="1">
      <x:c r="A23" s="5" t="str">
        <x:v>Q2</x:v>
      </x:c>
      <x:c r="B23" s="5" t="str">
        <x:v>酵母蛋白和乳清蛋白有什么区别？</x:v>
      </x:c>
      <x:c r="C23" s="5" t="str">
        <x:v>品类认知</x:v>
      </x:c>
      <x:c r="D23" s="5" t="str">
        <x:v>豆包</x:v>
      </x:c>
      <x:c r="E23" s="5" t="str">
        <x:v>自然</x:v>
      </x:c>
      <x:c r="F23" s="5" t="str">
        <x:v>2026/9/28 15:23:08</x:v>
      </x:c>
      <x:c r="G23" s="5" t="str">
        <x:v>有效</x:v>
      </x:c>
      <x:c r="H23" s="5" t="str">
        <x:v>酵母蛋白 VS 乳清蛋白
二者都是完全蛋白（9 种必需氨基酸齐全，PDCAAS=1），核心差异来自原料、吸收速度、致敏、附带营养
1. 来源
乳清蛋白：牛奶副产物，奶酪制作后分离的乳清，动物源。分浓缩 WPC、分离 WPI、水解乳清
酵母蛋白：酿酒酵母发酵提取，微生物源，非动物、非植物，国内新食品原料
2. 吸收速度 &amp; 亮氨酸（增肌关键）
乳清蛋白：快吸收蛋白
消化快，餐后 1 小时氨基酸浓度快速冲高；亮氨酸含量更高（约 10–12%），刺激肌肉蛋白合成峰值更强，练后立刻补充首选
酵母蛋白：缓释型蛋白
氨基酸平稳释放，峰值低、持续久；亮氨酸略低于乳清。适合日间持续供蛋白、长时间饱腹感，减少肌肉分解，不依赖练后短窗口
3. 致敏与肠胃
乳清：含乳糖 + 牛奶蛋白过敏原（β- 乳球蛋白）。乳糖不耐容易腹胀腹泻；牛奶蛋白过敏者禁用。分离乳清乳糖很低，但依然存在乳蛋白过敏原
酵母蛋白：无乳糖、无麸质、不含八大常见过敏原，低致敏；自带酵母 β- 葡聚糖、B 族维生素、锌硒，对肠道更友好，素食 / 乳糖不耐人群可用
4. 蛋白含量、口感、价格
乳清：WPC 约 70–80% 蛋白；WPI 可达 90%。奶香味，溶解度好。价格偏高
酵母蛋白：成品一般 70–80% 蛋白；口感略带谷物 / 酵母味，易起沫。国产原料，性价比更高
5. 适用人群快速判断
✅ 优先乳清：力量训练，追求练后快速促肌肉合成；能喝奶、无乳糖不耐、预算充足
✅ 优先酵母蛋白：乳糖不耐、牛奶蛋白敏感、素食；减脂控食欲、全天平稳补蛋白；预算有限；想要额外 B 族、β 葡聚糖
提示：长期足量补充，两种蛋白都能支持增肌；差异主要在吸收动力学、附加成分、致敏风险，不是 “能不能长肌肉” 的差距
要不要我给你做一个精简对比表格，方便直接放到 PPT 里？</x:v>
      </x:c>
      <x:c r="I23" s="5" t="str">
        <x:v>否</x:v>
      </x:c>
      <x:c r="J23" s="5" t="str"/>
      <x:c r="K23" s="5" t="str"/>
      <x:c r="L23" s="5" t="str"/>
      <x:c r="M23" s="5" t="str"/>
      <x:c r="N23" s="5" t="str">
        <x:v>类型建议或无品牌</x:v>
      </x:c>
      <x:c r="O23" s="5" t="str"/>
      <x:c r="P23" s="5" t="str"/>
      <x:c r="Q23" s="5" t="str"/>
      <x:c r="R23" s="5" t="str">
        <x:v>1.
酵母蛋白VS乳清蛋白，效果到底怎么样？ 健身新手小白想了解酵母蛋白粉，这一条就够了！#医生日常#医学科普#抖出健康知识宝藏#健身#蛋白粉@DOU+上热门 @抖音小助手 @DOU+小助手
2.
189五磅的蛋白粉 #健身补剂 #蛋白粉 #怡可纳
3.
食品饮料行业研究 买入（维持评级） 行业周报
4.
乳清蛋白价格大幅上涨，市场需求格局生变，酵母蛋白迎来发展新机遇#酵母蛋白#建议普及酵母蛋白#多品牌蛋白粉每桶涨价近百元
5.
酵母蛋白和乳清蛋白有啥区别，一次性讲清楚，让兄弟们不再纠结！#补剂六哥 #Allkeep #酵母蛋白 #乳清蛋白
6.
国家认证的新蛋白:酵母蛋白
7.
为什么 说 酵母 蛋白 是 全能 的 营养 大师 # 酵母 蛋白 # 酵母 蛋白 优质 蛋白 新 选择 # 建议 普及 酵母 蛋白
8.
酵母 蛋白 ， 一 探 究竟 ！ # 科普 一下 # 酵母 蛋白 优质 蛋白 新 选择 # 建议 普及 酵母 蛋白
9.
# 酵母 蛋白 # 建议 普及 酵母 蛋白
10.
食品 科技
11.
安琪 纽特
12.
一文 读懂 酵母 蛋白 | 7 大 核心 问答 : 非 转基因 、 低 嘌呤 、 pdca as = 1.0 ， 优质 完全 蛋白 全 解析 - 安琪 酵母 股份 有限 公司
13.
Whey Protein — Nutrition Reference
14.
Beta-Lactoglobulin In Whey Protein | Allergy Facts
15.
Whey Concentrate — Benefits, Dosage &amp; Research | NutraSmarts
16.
New Image International
17.
全 乳清 配方 奶粉 是 什么 ? 过敏 宝宝 转奶 怎么 选 - 手机 复禾 健康
18.
免疫营养素临床应用专家共识
19.
特殊医学用途配方食品临床应用指南
20.
肿瘤相关性肌肉减少症临床诊断与治疗指南</x:v>
      </x:c>
      <x:c r="S23" s="5" t="str">
        <x:v>https://www.iesdouyin.com/share/video/7643756129259932934
https://www.iesdouyin.com/share/video/7639184717480217897
https://pdf.dfcfw.com/pdf/H3_AP202608171828039071_1.pdf
https://www.iesdouyin.com/share/video/7648959885412977955
https://www.iesdouyin.com/share/video/7519072840889830714
https://m.thepaper.cn/newsDetail_forward_31387654
https://www.iesdouyin.com/share/video/7521788282561252648
https://www.iesdouyin.com/share/video/7519790765069864228
https://www.iesdouyin.com/share/video/7636949128811007251
https://sspj.cbpt.cnki.net/WKE/WebPublication/wkTextContent.aspx?contentID=852f8c0d-2e80-41ca-a934-cdbbf88b28a3
https://www.angelnutritech.com/zh/news/476.html
https://www.angelyeast.com/info/1755.html
https://nutritionreference.org/glossary/whey-protein/
https://proteinjug.com/beta-lactoglobulin-in-whey-protein/
https://www.nutrasmarts.com/ingredients/whey-concentrate
https://newimage.world/thehub/blog/whey-vs-plant-protein-which-one-should-you-choose
https://m.fh21.com.cn/news/view/8882224.html
https://guide.medlive.cn/guideline/30517#imported-data
https://m.zhangqiaokeyan.com/book-cn/081501336419.html#imported-data
http://182.92.200.144/CN/article/downloadArticleFile.do?attachType=PDF&amp;id=840#imported-data</x:v>
      </x:c>
      <x:c r="T23" s="5" t="str">
        <x:v>www.iesdouyin.com
www.iesdouyin.com
pdf.dfcfw.com
www.iesdouyin.com
www.iesdouyin.com
m.thepaper.cn
www.iesdouyin.com
www.iesdouyin.com
www.iesdouyin.com
sspj.cbpt.cnki.net
www.angelnutritech.com
www.angelyeast.com
nutritionreference.org
proteinjug.com
www.nutrasmarts.com
newimage.world
m.fh21.com.cn
guide.medlive.cn
m.zhangqiaokeyan.com
182.92.200.144</x:v>
      </x:c>
      <x:c r="U23" s="5" t="str">
        <x:v>是</x:v>
      </x:c>
      <x:c r="V23" s="5" t="str"/>
      <x:c r="W23" s="5" t="str">
        <x:v>https://www.doubao.com/chat/38444462697639938</x:v>
      </x:c>
      <x:c r="X23" s="5" t="n">
        <x:v>20</x:v>
      </x:c>
      <x:c r="Y23" s="5" t="str">
        <x:v>否</x:v>
      </x:c>
    </x:row>
    <x:row r="24" ht="34" customHeight="1">
      <x:c r="A24" s="5" t="str">
        <x:v>Q3</x:v>
      </x:c>
      <x:c r="B24" s="5" t="str">
        <x:v>酵母蛋白值得买吗？</x:v>
      </x:c>
      <x:c r="C24" s="5" t="str">
        <x:v>品类认知</x:v>
      </x:c>
      <x:c r="D24" s="5" t="str">
        <x:v>豆包</x:v>
      </x:c>
      <x:c r="E24" s="5" t="str">
        <x:v>自然</x:v>
      </x:c>
      <x:c r="F24" s="5" t="str">
        <x:v>2026/9/28 15:36:49</x:v>
      </x:c>
      <x:c r="G24" s="5" t="str">
        <x:v>有效</x:v>
      </x:c>
      <x:c r="H24" s="5" t="str">
        <x:v>✅一句话结论
酵母蛋白值得买，但它不是乳清的完美平替，更适合特定人群；优先买脱核酸工艺的正规产品。
它是国家批准的新食品原料，属于完全蛋白（9 种必需氨基酸齐全），DIAAS 评分 0.95，属于优质蛋白，优于大豆蛋白，接近乳清蛋白。
✔️优点
无乳糖、无大豆、无麸质：乳糖不耐、喝乳清胀气长痘、大豆蛋白容易放屁的人很友好；素食者也能吃
缓释蛋白，饱腹感强：吸收速度慢，适合早餐、睡前补充，抑制肌肉分解，减脂控饿好用；自带天然 B 族维生素、β- 葡聚糖，对肠道友好
正规脱核酸款嘌呤低：担心尿酸高的，认准脱核酸工艺，嘌呤可以做到低于大豆蛋白；没脱核酸的不要买，核酸高会升高尿酸
性价比不错，原料来源稳定
❌缺点（关键短板）
亮氨酸低于乳清：亮氨酸是启动肌肉合成的关键，乳清亮氨酸更高。力量训练后立刻补蛋白，首选乳清，酵母蛋白不适合练后快速补给，适合其他时段日常补充
口感一般：粉末偏沙感，有酵母味，部分人喝着不习惯
酵母过敏人群禁用；痛风急性期，即便脱核酸，建议先咨询医生
🧾适合买的人
乳糖不耐，喝乳清腹胀腹泻
素食 / 蛋奶素，不想吃大豆蛋白
中老年人、减脂人群，日常补蛋白、睡前补充
尿酸偏高，但想要蛋白粉（必须选脱核酸）
🧾不太推荐买的人
健身人群，主要想练后快速促肌肉合成（优先乳清，酵母可以搭配当日常补充）
对酵母 / 真菌过敏
痛风急性发作期
🛒选购要点
配料表写脱核酸酵母蛋白，蛋白质含量≥70%
看品牌，选正规大厂，避开小众三无
优先看蛋白含量，不要被 “B 族、葡聚糖” 等宣传掩盖核心蛋白指标
📌简单对比
乳清蛋白：吸收快、亮氨酸高｜适合练后，缺点：乳糖不耐容易胀气，价格更高
酵母蛋白：缓释、无乳糖、低嘌呤（脱核酸款）｜适合日常 / 睡前，缺点：亮氨酸偏低，口感一般
大豆蛋白：便宜，但抗营养因子多，容易胀气
如果你是乳糖不耐受、日常补蛋白、减脂控饿，酵母蛋白很值得入手；如果你主要是健身增肌、追求练后快速补充，更建议乳清，酵母可以作为第二选择。</x:v>
      </x:c>
      <x:c r="I24" s="5" t="str">
        <x:v>否</x:v>
      </x:c>
      <x:c r="J24" s="5" t="str"/>
      <x:c r="K24" s="5" t="str"/>
      <x:c r="L24" s="5" t="str"/>
      <x:c r="M24" s="5" t="str"/>
      <x:c r="N24" s="5" t="str">
        <x:v>类型建议或无品牌</x:v>
      </x:c>
      <x:c r="O24" s="5" t="str"/>
      <x:c r="P24" s="5" t="str"/>
      <x:c r="Q24" s="5" t="str"/>
      <x:c r="R24" s="5" t="str">
        <x:v>1.
“酵母蛋白”究竟能不能打？ “酵母蛋白”消化？吸收？利用？嘌呤？
2.
酵母蛋白VS乳清蛋白，效果到底怎么样？ 健身新手小白想了解酵母蛋白粉，这一条就够了！#医生日常#医学科普#抖出健康知识宝藏#健身#蛋白粉@DOU+上热门 @抖音小助手 @DOU+小助手
3.
酵母蛋白“低嘌呤+高吸收”，深度解析底层逻辑！ 酵母蛋白到底好在哪里，深度带你解析！#医学科普#抖出健康知识宝藏#健身#酵母蛋白 #建议普及酵母蛋白 @DOU+上热门 @抖音小助手 @DOU+小助手
4.
入手酵母蛋白前，必须弄清它的优缺点！#健身补剂 #健身 #健身小白必看经验 #蛋白粉 #酵母蛋白
5.
酵母蛋白，能替代你的乳清吗？ 这期视频从酵母蛋白怎么生产讲起，对比它与乳清的氨基酸组成、消化表现，以及大家关心的尿酸问题，再看看国内的原料厂家和成品品牌。 #酵母蛋白粉 #乳清蛋白 #蛋白粉
6.
安琪纽特
7.
Yeast Protein – Is It Safe?
8.
How to Choose the Right Protein for You?
9.
Yeast Protein
10.
如果你在减脂期 受够鸡胸 鸡蛋 牛奶了,或者没有时间给自己做干净饮食,还有就是已经知道蛋白质对于减脂期的重要性,那真的可以选择一款蛋白粉 尤其大基数,每天蛋白质吃够热量也要超标了,这也是为什么越来越多人会配合蛋白粉，因为蛋白粉蛋白质高,脂肪热量会低很多！#减肥的营养知识科普 #减肥蛋白质的重要性 #减脂期刚需 #健康饮食干货分享 #减脂期蛋白粉怎么选
11.
无广分析：酵母蛋白粉和乳清蛋白粉之间的区别以及各自优势，究竟是营销噱头？还是真香警告！#健身干货 #健身知识分享 #健身大白话 #健身补剂 #蛋白粉
12.
不同 酵母 和 酵母 蛋白 的 生产 与 应用 及 蛋白 合成 调控 规律 研究 进展
13.
酵母 蛋白 ， 补充 蛋白质 的 新 选择 _ 澎湃 号 · 湃客 _ 澎湃 新闻 - the paper
14.
第二 届 酵母 蛋白 国际 研讨会 释放 重磅 信号
15.
饱腹感 强 、 营养 全面 ， 安琪 酵母 蛋白 — — 适合 于 烘焙 产品 的 优质 蛋白 - 安琪 酵母 股份 有限 公司
16.
食品 科技</x:v>
      </x:c>
      <x:c r="S24" s="5" t="str">
        <x:v>https://www.iesdouyin.com/share/video/7599069834572076243
https://www.iesdouyin.com/share/video/7643756129259932934
https://www.iesdouyin.com/share/video/7654886389477133583
https://www.iesdouyin.com/share/video/7631057593642135673
https://www.iesdouyin.com/share/video/7685689586407804200
https://www.angelnutritech.com/zh/news/317.html
https://asitisnutrition.com/blogs/health/yeast-protein-is-it-safe
https://en.angelyeast.com/blog/yeast-protein/how-to-choose-the-right-protein-for-you.html
https://nutrabay.com/product-category/yeast-protein/
https://www.iesdouyin.com/share/video/7687847036238778088
https://www.iesdouyin.com/share/video/7654457120809539697
https://www.sciopen.com/local/article_pdf/10.7506/spkx1002-6630-20250918-143.pdf
https://www.thepaper.cn/newsDetail_forward_31841581
https://www.peopleapp.com/rmharticle/30052018615
https://www.angelyeast.com/info/671.html
https://sspj.cbpt.cnki.net/WKE/WebPublication/wkTextContent.aspx?contentID=852f8c0d-2e80-41ca-a934-cdbbf88b28a3</x:v>
      </x:c>
      <x:c r="T24" s="5" t="str">
        <x:v>www.iesdouyin.com
www.iesdouyin.com
www.iesdouyin.com
www.iesdouyin.com
www.iesdouyin.com
www.angelnutritech.com
asitisnutrition.com
en.angelyeast.com
nutrabay.com
www.iesdouyin.com
www.iesdouyin.com
www.sciopen.com
www.thepaper.cn
www.peopleapp.com
www.angelyeast.com
sspj.cbpt.cnki.net</x:v>
      </x:c>
      <x:c r="U24" s="5" t="str">
        <x:v>是</x:v>
      </x:c>
      <x:c r="V24" s="5" t="str"/>
      <x:c r="W24" s="5" t="str">
        <x:v>https://www.doubao.com/chat/38444783665457410</x:v>
      </x:c>
      <x:c r="X24" s="5" t="n">
        <x:v>16</x:v>
      </x:c>
      <x:c r="Y24" s="5" t="str">
        <x:v>否</x:v>
      </x:c>
    </x:row>
    <x:row r="25" ht="34" customHeight="1">
      <x:c r="A25" s="5" t="str">
        <x:v>Q4</x:v>
      </x:c>
      <x:c r="B25" s="5" t="str">
        <x:v>酵母蛋白有哪些品牌？</x:v>
      </x:c>
      <x:c r="C25" s="5" t="str">
        <x:v>品类认知</x:v>
      </x:c>
      <x:c r="D25" s="5" t="str">
        <x:v>豆包</x:v>
      </x:c>
      <x:c r="E25" s="5" t="str">
        <x:v>自然</x:v>
      </x:c>
      <x:c r="F25" s="5" t="str">
        <x:v>2026/9/28 15:37:08</x:v>
      </x:c>
      <x:c r="G25" s="5" t="str">
        <x:v>有效</x:v>
      </x:c>
      <x:c r="H25" s="5" t="str">
        <x:v>酵母蛋白品牌（分原料品牌 &amp; 终端蛋白粉品牌）
国内市面上绝大多数酵母蛋白粉，原料都来自安琪酵母 AnPro® / AngeoPro®（国内首个获批的酵母蛋白新食品原料）安琪酵母
一、原料大厂（B 端原料，供给各蛋白粉品牌）
安琪酵母 Angel：AnPro®（国内主流）、AngeoPro®，国内酵母蛋白原料龙头，蛋白含量 70~90%，全价蛋白，国内绝大多数运动营养酵母粉都采用安琪 AnPro 原料安琪酵母
海外：Mycoprotein（奎克 Quorn，真菌蛋白，常被归为微生物蛋白）；RNWY（美国，安琪酵母蛋白原料成品）、Enkioo（波兰纯素酵母蛋白）
二、国内终端零售酵母蛋白粉（健身 / 膳食补剂）
怡可纳：国内酵母蛋白品类较早出圈品牌，有普通酵母蛋白、水解酵母蛋白，主打乳糖不耐人群
ALLKEEP：主打口感优化，泡沫少，使用安琪 AnPro 酵母蛋白原料
概特（GAT）：高蛋白版本，部分配方添加益生元，热门健身款
米当卡 MIDANGKA：口味丰富，性价比款，部分配方复配豌豆蛋白
英之素：添加益生元、益生菌配方的酵母蛋白
BD 能量：早期性价比酵母蛋白品牌
三角喵：特色格瓦斯风味酵母蛋白
元气码头，健盾，赛霸（CPTKING），清晨鹿，爱兰纯 等
三、饲料级酵母蛋白（养殖用）
安琪、乐斯福、奥普、博益等（多用于畜禽水产饲料，不可直接食用）
如果你需要，我可以简单对比怡可纳、ALLKEEP、概特这几个热门品牌的蛋白含量、优缺点，帮你挑选。</x:v>
      </x:c>
      <x:c r="I25" s="5" t="str">
        <x:v>是</x:v>
      </x:c>
      <x:c r="J25" s="5" t="str"/>
      <x:c r="K25" s="5" t="n">
        <x:v>1</x:v>
      </x:c>
      <x:c r="L25" s="5" t="str"/>
      <x:c r="M25" s="5" t="str">
        <x:v>怡可纳、赛霸/小赛同学、概特/盖特、米当卡、BD能量、ALLKEEP、英之素、元气码头、三角喵、健盾、清晨鹿、爱兰纯、Quorn</x:v>
      </x:c>
      <x:c r="N25" s="5" t="str">
        <x:v>顺序列举</x:v>
      </x:c>
      <x:c r="O25" s="5" t="str">
        <x:v>蛋白原料成品）、Enkioo（波兰纯素酵母蛋白） 二、国内终端零售酵母蛋白粉（健身 / 膳食补剂） 怡可纳：国内酵母蛋白品类较早出圈品牌，有普通酵母蛋白、水解酵母蛋白，主打乳糖不耐人群 ALLKEEP：主打口感优化，泡沫少，使用安琪 AnPro 酵母蛋白原料 概特（GAT）：高蛋白版本，部分配方添加益生元，热门健身款 米当卡 MIDANGKA：口味丰富，性价比款，部分配方复配豌豆蛋白 英之素：添加益生元、益生菌配方的酵母蛋白 BD 能量：早期性价比酵母蛋白品牌 三角喵：特色格瓦斯风味酵母蛋白 元气码头，健盾，赛霸（CPTKING），清晨鹿，爱兰纯 等 三</x:v>
      </x:c>
      <x:c r="P25" s="5" t="str">
        <x:v>正面</x:v>
      </x:c>
      <x:c r="Q25" s="5" t="str">
        <x:v>酵母蛋白、价格优势、乳糖不耐场景、口感/冲泡体验、运动/健身</x:v>
      </x:c>
      <x:c r="R25" s="5" t="str">
        <x:v>1.
锐评酵母蛋白粉（1） R2:酵母蛋白粉出来时间久了，可以说是百花齐放，每家都对于酵母蛋白有一些自己的理解，但是大家都是摸着怡可纳过河，然后竟然有很多做的比怡可纳还有特色。但是，酵母蛋白，还是要从试用装
2.
酵母蛋白个人分享。我前前后后喝过不少酵母蛋白，刷了好多券之后入手价格特别划算。提醒下大家别买五磅装的，量大很容易喝腻，最后剩大半罐好浪费。
3.
第2期酵母蛋白品牌大测评（第一期往下翻），为保持客观就不打分排名了，以上纯属十年补剂从业者的角度客观测评，后面有新酵母入场，会随时更新。#酵母蛋白 #酵母蛋白粉 #Allkeep酵母蛋白 #元气码头酵
4.
最最最新新新新新版酵母蛋白锐评，蛋白粉原料涨价了，就喝点补充没这么好的酵母蛋白吧 #锐评 #从夯到拉 #酵母蛋白粉 #酵母蛋白 #蛋白粉原料涨价
5.
蛋白粉配料表给我看笑了。对比老三家酵母蛋白粉，概特和米当卡都不错，但是看到这个第三个怡可纳的，难评，之前一直以为大牌子就有保障结果，诶，有的配料表连相关成分都没有还敢写［XX味］［xx口味］，真是把消
6.
【从夯到拉】酵母蛋白粉按照营养成分和配料排行(1) 没有说明具体原料就是80原料，没有说是运动营养食品就是固体饮料 下期见合集 #酵母蛋白 #酵母蛋白粉 #蛋白粉 #蛋白质 #蛋白粉推荐
7.
Angel Yeast starts Operating New 11,000-Ton Yeast Protein Production Line to Meet Global Demand for Sustainable Nutrition - Compañía - Angelyeast-es
8.
“市面上三种原料酵母蛋白测评” #蛋白粉 #酵母蛋白
9.
酵母蛋白推荐。全程无广 理性辨别 自主选择 #酵母蛋白 #瘦子增肌 #增肌 #学生党好物推荐
10.
酵母蛋白大排行 说说谁是你心中的第一名#酵母蛋白 #allkeep酵母蛋白
11.
国内首款!微生物蛋白类食品配料蛋白含量卷到90%! Foodaily带你走进HNC&amp;FiA2026，解锁安琪以酵母科技与生物制造创新为核心，一场围绕"微生物蛋白与功能性配料"的解决方案。#安琪 #酵母
12.
Angel Yeast Pioneers the Next Era of Protein Supply in the Face of Soaring Global Whey Prices - Yeast Protein - Angelyeast
13.
an pro ® 酵母 蛋白 闪耀 2026 新 营养 大会 | 定义 全球 蛋白 营养 趋势 - 安琪 酵母 股份 有限 公司
14.
an pro ® 酵母 蛋白 斩获 ipnf 天然 健康 原料 top20 年度 大奖 | 安琪 闪耀 wpe &amp; whpe 2026 - 安琪 酵母 股份 有限 公司
15.
素食 主义 风靡 ， 酵母 蛋白 在 素食 产品 中 的 应用 - 安琪 酵母 股份 有限 公司
16.
AnPro® Yeast Protein
17.
an pro ® 酵母 蛋白 — — 引航 运动 营养 与 可 持续 未来 的 技术 革新 - 安琪 酵母 股份 有限 公司
18.
酵母蛋白。蛋白粉 酵母蛋白 乳清蛋白 河北石家庄 代工厂 特膳食品，提供配方支持
19.
酵母蛋白的几种原料 #酵母蛋白 #蛋白粉 #健身
20.
AngeoPro, A Sustainably Sourced Natural Yeast Protein - Angelyeast</x:v>
      </x:c>
      <x:c r="S25" s="5" t="str">
        <x:v>https://www.iesdouyin.com/share/video/7687082340167165093
https://www.iesdouyin.com/share/video/7683738591008617062
https://www.iesdouyin.com/share/video/7549448721533439291
https://www.iesdouyin.com/share/video/7674269962890835179
https://www.iesdouyin.com/share/video/7632164421302103674
https://www.iesdouyin.com/share/video/7610427454272629689
https://www.angelyeast.com/es/news/company/angel-yeast-starts-operating-new-11000-ton-yeast-protein-production-line.html
https://www.iesdouyin.com/share/video/7668762039380481203
https://www.iesdouyin.com/share/video/7686041533813149531
https://www.iesdouyin.com/share/video/7596637398257679494
https://www.iesdouyin.com/share/video/7654529149188590882
https://en.angelyeast.com/blog/yeast-protein/angel-yeast-protein-supply-global-whey-prices.html
https://www.angelyeast.com/company/1706.html
https://www.angelyeast.com/company/1802.html
https://www.angelyeast.com/info/713.html
https://en.angelyeast.com/upload/files/2021/8/Angel_Anpro_Yeast_Protein.pdf
https://www.angelyeast.com/info/1409.html
https://www.iesdouyin.com/share/video/7664473968636462483
https://www.iesdouyin.com/share/video/7685751315192430770
https://en.angelyeast.com/products/human-health/angeopro-a-sustainably-sourced-natural-yeast-protein.html</x:v>
      </x:c>
      <x:c r="T25" s="5" t="str">
        <x:v>www.iesdouyin.com
www.iesdouyin.com
www.iesdouyin.com
www.iesdouyin.com
www.iesdouyin.com
www.iesdouyin.com
www.angelyeast.com
www.iesdouyin.com
www.iesdouyin.com
www.iesdouyin.com
www.iesdouyin.com
en.angelyeast.com
www.angelyeast.com
www.angelyeast.com
www.angelyeast.com
en.angelyeast.com
www.angelyeast.com
www.iesdouyin.com
www.iesdouyin.com
en.angelyeast.com</x:v>
      </x:c>
      <x:c r="U25" s="5" t="str">
        <x:v>是</x:v>
      </x:c>
      <x:c r="V25" s="5" t="str"/>
      <x:c r="W25" s="5" t="str">
        <x:v>https://www.doubao.com/chat/38444618913403394</x:v>
      </x:c>
      <x:c r="X25" s="5" t="n">
        <x:v>20</x:v>
      </x:c>
      <x:c r="Y25" s="5" t="str">
        <x:v>否</x:v>
      </x:c>
    </x:row>
    <x:row r="26" ht="34" customHeight="1">
      <x:c r="A26" s="5" t="str">
        <x:v>Q5</x:v>
      </x:c>
      <x:c r="B26" s="5" t="str">
        <x:v>乳糖不耐受的人适合喝什么蛋白粉？</x:v>
      </x:c>
      <x:c r="C26" s="5" t="str">
        <x:v>需求解决</x:v>
      </x:c>
      <x:c r="D26" s="5" t="str">
        <x:v>豆包</x:v>
      </x:c>
      <x:c r="E26" s="5" t="str">
        <x:v>自然</x:v>
      </x:c>
      <x:c r="F26" s="5" t="str">
        <x:v>2026/9/28 15:37:24</x:v>
      </x:c>
      <x:c r="G26" s="5" t="str">
        <x:v>有效</x:v>
      </x:c>
      <x:c r="H26" s="5" t="str">
        <x:v>✅乳糖不耐受蛋白粉推荐（按优先级）
❌不推荐：浓缩乳清蛋白、酪蛋白，乳糖含量高，很容易胀气拉肚子
1. 分离乳清蛋白（轻度乳糖不耐、健身首选）
蛋白≥90%，乳糖极低（每勺＜0.5g），大部分乳糖不耐可以耐受，但仍然属于乳制品，含有微量乳蛋白，牛奶蛋白过敏不能喝
优点：氨基酸完整、亮氨酸高，肌肉合成效果最好，吸收快
选购技巧：优先看包装标注「分离乳清蛋白」；部分产品额外添加乳糖酶，对敏感人群更友好
适合：只是喝牛奶腹胀腹泻，但不是牛奶过敏，想要增肌 / 运动补充
2. 全 0 乳糖、无乳制品（中度 / 重度乳糖不耐，最稳妥）
① 卵清蛋白粉（蛋清蛋白）
鸡蛋来源，完全不含乳糖、不含牛奶，完整优质蛋白
吸收速度中等，饱腹感不错，适合日常补充、加餐
注意：鸡蛋过敏不能选
② 牛肉分离蛋白
0 乳糖，动物完整蛋白；亮氨酸略低于乳清，口感一般，价格偏高
③ 植物蛋白（天然无乳糖，素食友好）
豌豆分离蛋白：最推荐植物款，氨基酸相对均衡；单独缺蛋氨酸，豌豆 + 糙米复合蛋白就是完整蛋白
大豆分离蛋白：优质完全植物蛋白，性价比高；有大豆过敏者避开
适合：重度乳糖不耐，或者不想碰任何乳制品；健身的话建议豌豆 + 大米复合蛋白
📌选购必看要点
看配料第一位：写浓缩乳清直接 pass；分离乳清 / 豌豆蛋白 / 卵清蛋白才可以
区分「乳糖不耐」vs「牛奶蛋白过敏」：
乳糖不耐：只是不耐乳糖，可以试分离乳清
牛奶过敏：必须完全避开所有乳源，只能选卵清 / 牛肉 / 植物蛋白
少量试喝：第一次半勺，不要空腹大量喝，餐后饮用更不容易胀气
简单快速选型
轻度不耐、健身增肌 → 分离乳清
重度不耐 / 牛奶过敏 → 豌豆复合蛋白 / 卵清蛋白
素食人群 → 豌豆分离蛋白、大豆分离蛋白
你可以告诉我：是健身用还是日常补充，以及有没有鸡蛋 / 大豆过敏，我帮你进一步缩小选择。</x:v>
      </x:c>
      <x:c r="I26" s="5" t="str">
        <x:v>否</x:v>
      </x:c>
      <x:c r="J26" s="5" t="str"/>
      <x:c r="K26" s="5" t="str"/>
      <x:c r="L26" s="5" t="str"/>
      <x:c r="M26" s="5" t="str"/>
      <x:c r="N26" s="5" t="str">
        <x:v>类型建议或无品牌</x:v>
      </x:c>
      <x:c r="O26" s="5" t="str"/>
      <x:c r="P26" s="5" t="str"/>
      <x:c r="Q26" s="5" t="str"/>
      <x:c r="R26" s="5" t="str">
        <x:v>1.
五种蛋白粉，糖人怎么选？ 选购避坑五条 1. 优先选分离款，避开浓缩乳清（乳糖偏高） 2. 拒绝添加麦芽糊精、果葡糖浆的蛋白粉 3. 单次摄入量控制好，不要过量补充 4. 服用后监测自身血糖，个体有差
2.
乳糖不耐受的人，蛋白粉千万别乱选！。❌这三种千万别碰： 含乳糖的浓缩乳清蛋白 ❌ 添加代糖香精的调味粉 ❌ 高渗透压的运动蛋白粉 ❌ ✅选对蛋白粉，看准这三点： 1️⃣ 分离乳清蛋白，0乳糖低负担 2
3.
目前市面上主流的蛋白粉就三种，要记住含量75%以上的才能叫做蛋白粉。TB上有一种含量百分之25%，叫增肌粉，效果和一碗大米饭相当，一定要看仔细了！ 蛋白粉的种类： [飞盘R]乳清蛋白粉适合健身人群，吸
4.
一条视频带你看懂目前比较热门的几款分离蛋白粉，临近618很多兄弟都不知道该如何选择分离，一条视频带你概括热门分离的优缺点包括，on，yamamoto，foyes，rule，肌肉科技，allmax，迪马
5.
本来就乳糖不耐受的人，现在需要挑一个适合自己的蛋白粉更是难上加难。对于这些朋友，我专门整理了三款市面上能买到并且回购率相对较高的几款产品，希望一定程度上能帮助到大家#蛋白粉 #术后恢复
6.
Why Whey Protein Causes Bloating (And What Malaysians Should Use Instead) – FYLL
7.
Whey vs Plant Protein for Indians: Which Wins | YourTrainer Blog
8.
Best Protein Powder for Lactose Intolerance: A Data-Driven Guide
9.
Dairy-Free Whey Protein Isolate and Alternatives for Lactose-Intolerant Consumers
10.
7 Best Protein Powder For Lactose Intolerance | Dairy-Free Power
11.
9 Best Lactose-Free Protein Powders in 2026
12.
减重手术的营养与多学科管理专家共识
13.
特殊医学用途配方食品临床应用指南
14.
安素 肠内营养粉剂(TP) 400g-小荷AI医生-药品说明书
15.
儿童围手术期营养管理专家共识
16.
瑞代 肠内营养乳剂(TPF-D) 500ml-小荷AI医生-药品说明书</x:v>
      </x:c>
      <x:c r="S26" s="5" t="str">
        <x:v>https://www.iesdouyin.com/share/video/7678296811647653489
https://www.iesdouyin.com/share/video/7620316206058245382
https://www.iesdouyin.com/share/video/7640264149096549491
https://www.iesdouyin.com/share/video/7640898006263573434
https://www.iesdouyin.com/share/video/7598351931458949989
https://fyll.club/blogs/guide/why-whey-protein-causes-bloating-malaysians
https://www.yourtrainer.in/blog/whey-vs-plant-protein-india-lactose-brands
https://www.supplementmath.com/protein-powder/learn/protein-for-lactose-intolerance/
https://anruibio.com/whey-protein-dairy-free-alternatives-lactose-intolerance/
https://wellwhisk.com/best-protein-powder-for-lactose-intolerance/
https://store.torokhtiy.com/blogs/reviews/best-lactose-free-protein-powder?ref=JIMMYDREW
https://rs.yiigle.com/cmaid/1022024#imported-data
https://m.zhangqiaokeyan.com/book-cn/081501336419.html#imported-data
https://search.xiaohe.cn/drug/document?channel=doubao&amp;device_id=7690480443015431731&amp;drug_id=7479030319077827347&amp;enter_from_merge=medical_search_summary&amp;enter_position=medical_search&amp;entrance_form=doubao
https://rs.yiigle.com/cmaid/1173062#imported-data
https://search.xiaohe.cn/drug/document?channel=doubao&amp;device_id=7690480443015431731&amp;drug_id=7436619890187887372&amp;enter_from_merge=medical_search_summary&amp;enter_position=medical_search&amp;entrance_form=doubao</x:v>
      </x:c>
      <x:c r="T26" s="5" t="str">
        <x:v>www.iesdouyin.com
www.iesdouyin.com
www.iesdouyin.com
www.iesdouyin.com
www.iesdouyin.com
fyll.club
www.yourtrainer.in
www.supplementmath.com
anruibio.com
wellwhisk.com
store.torokhtiy.com
rs.yiigle.com
m.zhangqiaokeyan.com
search.xiaohe.cn
rs.yiigle.com
search.xiaohe.cn</x:v>
      </x:c>
      <x:c r="U26" s="5" t="str">
        <x:v>是</x:v>
      </x:c>
      <x:c r="V26" s="5" t="str"/>
      <x:c r="W26" s="5" t="str">
        <x:v>https://www.doubao.com/chat/38444444829854722</x:v>
      </x:c>
      <x:c r="X26" s="5" t="n">
        <x:v>16</x:v>
      </x:c>
      <x:c r="Y26" s="5" t="str">
        <x:v>否</x:v>
      </x:c>
    </x:row>
    <x:row r="27" ht="34" customHeight="1">
      <x:c r="A27" s="5" t="str">
        <x:v>Q6</x:v>
      </x:c>
      <x:c r="B27" s="5" t="str">
        <x:v>喝乳清蛋白容易肚子不舒服，有什么其他蛋白粉可以选？</x:v>
      </x:c>
      <x:c r="C27" s="5" t="str">
        <x:v>需求解决</x:v>
      </x:c>
      <x:c r="D27" s="5" t="str">
        <x:v>豆包</x:v>
      </x:c>
      <x:c r="E27" s="5" t="str">
        <x:v>自然</x:v>
      </x:c>
      <x:c r="F27" s="5" t="str">
        <x:v>2026/9/28 15:37:48</x:v>
      </x:c>
      <x:c r="G27" s="5" t="str">
        <x:v>有效</x:v>
      </x:c>
      <x:c r="H27" s="5" t="str">
        <x:v>先分清：你不舒服大概率两种原因
乳糖不耐受（最常见）：普通浓缩乳清有乳糖，腹胀、拉肚子、排气多
对乳清蛋白本身不耐受 / 代糖、增稠剂刺激肠胃：哪怕几乎无乳糖的分离乳清喝了还是难受，就要换非乳源蛋白
✅ 方案 1：还想喝乳制品蛋白（优先试，氨基酸最好、增肌友好）
分离乳清 WPI：乳糖极低（＜1g / 份），适合轻度乳糖不耐。如果只是喝普通乳清拉肚子，很多人换这个就好了
水解乳清 WPH：蛋白提前切成小分子肽，乳糖更低、消化负担最小，适合肠胃特别敏感的人；缺点价格贵，味道偏苦
⚠️ 如果你试了分离 / 水解乳清依然肠胃难受，说明不是单纯乳糖问题，对乳蛋白本身敏感，直接跳到下面非奶蛋白
✅ 方案 2：非奶动物蛋白（零乳糖，全价优质蛋白，推荐：卵清蛋白）
卵清蛋白粉（鸡蛋蛋白）
原料鸡蛋清，完全不含乳糖，全价蛋白，亮氨酸不错，适合健身增肌
优点：致敏性低、肠胃普遍更温和；缺点：部分产品有蛋腥味、钠偏高
✅ 方案 3：植物蛋白粉（无奶，首选豌豆 / 豌豆 + 大米混合）
植物蛋白单种氨基酸会缺，豌豆 + 大米复配能凑成完整必需氨基酸，健身首选植物款
豌豆分离蛋白（最推荐植物款）
黄豌豆提取，无乳糖、低致敏，大部分人喝不容易胀气；氨基酸缺甲硫氨酸，单独喝稍差，选豌豆 + 大米混合款最好
大米蛋白（糙米蛋白）
低敏、对肠胃很温和；缺点单独缺赖氨酸，一般和豌豆复配使用
大豆分离蛋白
唯一单独就是全价植物蛋白；⚠️ 但大豆含寡糖，有些人喝反而胀气，有大豆过敏不能选
小众：火麻仁蛋白、南瓜籽蛋白，纤维偏高，初次喝反而容易胀气，不建议肠胃脆弱的人第一支尝试
📌 选购 &amp; 饮用避坑（很多人忽略）
配料表：避开赤藓糖醇、甘露醇、山梨醇这类代糖，很多人不是蛋白不耐，是代糖导致腹泻胀气
不要一次一勺直接猛灌：可以减半量试，随餐喝，不要空腹；用凉水 / 常温水，不要开水
优先选分离型蛋白（分离豌豆 / 分离大豆），粗提浓缩植物蛋白膳食纤维多，更容易胀肚子
快速选择建议
只想改善乳糖不耐、继续奶蛋白 → 分离乳清
肠胃很弱、分离乳清还是不舒服，想要动物蛋白 → 卵清蛋白
乳制品完全不能碰（乳蛋白过敏 / 重度不耐）→ 豌豆 + 大米混合植物蛋白粉
能吃大豆、预算低 → 大豆分离蛋白（先少量试会不会胀气）</x:v>
      </x:c>
      <x:c r="I27" s="5" t="str">
        <x:v>否</x:v>
      </x:c>
      <x:c r="J27" s="5" t="str"/>
      <x:c r="K27" s="5" t="str"/>
      <x:c r="L27" s="5" t="str"/>
      <x:c r="M27" s="5" t="str"/>
      <x:c r="N27" s="5" t="str">
        <x:v>类型建议或无品牌</x:v>
      </x:c>
      <x:c r="O27" s="5" t="str"/>
      <x:c r="P27" s="5" t="str"/>
      <x:c r="Q27" s="5" t="str"/>
      <x:c r="R27" s="5" t="str">
        <x:v>1.
蛋白粉≠万能补给，练后一勺，有人增肌，有人跑厕所，不是每个人都接得住！我来带你夏日养生#运动人怎么选好乳清蛋白#抖出健康知识宝藏#医疗健康创作训练营 #我在抖音轻养生#夏季养生小知识
2.
除了乳清蛋白粉？ 我们还有什么选择？ #运动 #增肌 #蛋白粉 #运动补剂 #健身
3.
肠胃不好，如何科学挑选蛋白粉？这些蛋白粉，你都吃过吗？选对了吗？欢迎留言#蛋白粉选择 #蛋白粉#肠胃
4.
乳糖 不 耐受 喝 不了 乳清 的 ， 试试 这 款 概 特 水解 卵 清 蛋白粉 。 # 概 特 # 蛋白粉 # 卵 清 蛋白粉 # 补剂 # 健身
5.
消化不好的人，蛋白粉千万别乱喝！。这条视频帮你避开雷区👇 🚫这3种蛋白粉，肠胃差的人慎选： 1️⃣ 大分子蛋白——难吸收，容易腹胀腹泻 2️⃣ 含乳糖的浓缩乳清——乳糖不耐受，越喝越伤 3️⃣ 代糖+
6.
代替乳清蛋白 #万物即可种草搜
7.
Why Whey Protein Causes Bloating (And What Malaysians Should Use Instead) – FYLL
8.
Whey vs Plant Protein for Indians: Which Wins | YourTrainer Blog
9.
Whey Protein Causing Bloating? Here Are Cleaner, Easy to Digest Protein Alternatives - Nutrabay Magazine
10.
Whey vs Plant Protein: Amino Acids &amp; Digestion Compared | Ones
11.
Best Protein For Bloating | Choosing Gentler Options
12.
Vegan Protein vs Whey 2026: Which Protein Powder is Better?</x:v>
      </x:c>
      <x:c r="S27" s="5" t="str">
        <x:v>https://www.iesdouyin.com/share/video/7652678507961600497
https://www.iesdouyin.com/share/video/7471628592317861154
https://www.iesdouyin.com/share/video/7604686922410512049
https://www.iesdouyin.com/share/video/7671908247897624694
https://www.iesdouyin.com/share/video/7622911937172606235
https://www.iesdouyin.com/share/video/7554805154311195938
https://fyll.club/blogs/guide/why-whey-protein-causes-bloating-malaysians
https://www.yourtrainer.in/blog/whey-vs-plant-protein-india-lactose-brands
https://nutrabay.com/magazine/whey-easy-to-digest-protein-alternatives
https://ones.health/blog/whey-vs-plant-protein-amino-acids-digestion
https://proteinjug.com/best-protein-for-bloating/
https://formulacompare.com/blog/vegan-protein-vs-whey.html</x:v>
      </x:c>
      <x:c r="T27" s="5" t="str">
        <x:v>www.iesdouyin.com
www.iesdouyin.com
www.iesdouyin.com
www.iesdouyin.com
www.iesdouyin.com
www.iesdouyin.com
fyll.club
www.yourtrainer.in
nutrabay.com
ones.health
proteinjug.com
formulacompare.com</x:v>
      </x:c>
      <x:c r="U27" s="5" t="str">
        <x:v>是</x:v>
      </x:c>
      <x:c r="V27" s="5" t="str"/>
      <x:c r="W27" s="5" t="str">
        <x:v>https://www.doubao.com/chat/38444711996297986</x:v>
      </x:c>
      <x:c r="X27" s="5" t="n">
        <x:v>12</x:v>
      </x:c>
      <x:c r="Y27" s="5" t="str">
        <x:v>否</x:v>
      </x:c>
    </x:row>
    <x:row r="28" ht="34" customHeight="1">
      <x:c r="A28" s="5" t="str">
        <x:v>Q7</x:v>
      </x:c>
      <x:c r="B28" s="5" t="str">
        <x:v>健身新手应该买什么蛋白粉？</x:v>
      </x:c>
      <x:c r="C28" s="5" t="str">
        <x:v>需求解决</x:v>
      </x:c>
      <x:c r="D28" s="5" t="str">
        <x:v>豆包</x:v>
      </x:c>
      <x:c r="E28" s="5" t="str">
        <x:v>自然</x:v>
      </x:c>
      <x:c r="F28" s="5" t="str">
        <x:v>2026/9/28 15:38:09</x:v>
      </x:c>
      <x:c r="G28" s="5" t="str">
        <x:v>有效</x:v>
      </x:c>
      <x:c r="H28" s="5" t="str">
        <x:v>✅ 一句话结论
绝大多数新手，直接买【浓缩乳清蛋白粉（WPC）】，性价比最高、氨基酸完整，适合增肌 / 减脂；乳糖不耐（喝牛奶拉肚子）就选分离乳清（WPI）；水解乳清、酪蛋白、增肌粉新手一般不用买。
重点：蛋白粉只是补剂！优先靠肉、蛋、奶吃够蛋白质，蛋白粉只用来补足缺口，不是必须买。
一、几种蛋白粉怎么区分
浓缩乳清 WPC（新手首选）
蛋白 70%~80%，含少量乳糖、脂肪，价格便宜，口感好
✅适合：喝牛奶不拉肚子、预算普通，增肌 / 减脂新手
❌缺点：乳糖不耐喝了容易胀气、腹泻
分离乳清 WPI
蛋白 90%+，几乎去掉乳糖和脂肪，价格更贵
✅适合：乳糖不耐、减脂严格控热量、喝牛奶长痘的人
水解乳清 WPH
提前预消化，吸收更快，价格贵、口感偏苦。普通健身新手没必要，只适合严重肠胃敏感、牛奶蛋白过敏人群
酪蛋白（缓释蛋白）
吸收慢，适合睡前喝，新手不用优先买，不是刚需。
增肌粉（不推荐新手优先买）
大量碳水 + 少量蛋白，本质就是蛋白粉 + 糖。除非你极度偏瘦、吃饭很难吃下去，否则别买，容易长胖、热量不好控制
植物蛋白（豌豆 / 大豆 / 酵母蛋白）
无乳糖；适合素食者；亮氨酸偏低，增肌效果弱于乳清，适合乳糖不耐又不想花高价买分离乳清的人
二、品牌参考（新手入门）
优先先买小桶（2 磅）试口味，避免买 5 磅大桶难喝浪费
国产性价比：赛霸、康比特、京东京造、紫光优健
进口经典：ON 欧普特蒙、诺特兰德、MP、熊猫乳清
三、选购看配料表，记住这几点
配料表第一位必须是浓缩乳清蛋白 / 分离乳清蛋白，不是麦芽糊精、白砂糖
每勺蛋白尽量20~25g，亮氨酸≥2.5g，刺激肌肉合成效果更好
尽量少香精、少添加糖，不要买花里胡哨添加（BCAA、谷氨酰胺等，新手没必要）
口味优先：巧克力、香草、草莓，不容易踩雷
四、怎么喝、喝多少
运动人群推荐：1.4~2.0g /kg 体重，每天总蛋白质（食物 + 蛋白粉）
例：70kg，每天总蛋白 98~140g，一勺蛋白粉一般 25g 蛋白，一天 1 勺足够。
时间：练后半小时～1 小时喝都行，不用死卡窗口期；也可以早餐喝
冲泡：冷水 / 温水，不要开水，高温会让蛋白结块
五、避坑提醒
不要迷信 “进口一定更好”，国产正规品牌性价比很高
蛋白粉不能替代正餐，训练 + 饮食 + 睡眠才是长肌肉的核心
正常肾功能健康人喝没问题；肾病患者不要自行喝蛋白粉
如果你告诉我：体重、目标（增肌还是减脂）、喝牛奶会不会拉肚子、预算，我可以直接帮你锁定最合适的一款。</x:v>
      </x:c>
      <x:c r="I28" s="5" t="str">
        <x:v>否</x:v>
      </x:c>
      <x:c r="J28" s="5" t="str"/>
      <x:c r="K28" s="5" t="str"/>
      <x:c r="L28" s="5" t="str"/>
      <x:c r="M28" s="5" t="str">
        <x:v>赛霸/小赛同学、京东京造、康比特、诺特兰德、紫光优健、Myprotein、ON/欧普特蒙</x:v>
      </x:c>
      <x:c r="N28" s="5" t="str">
        <x:v>品牌提及/类型说明</x:v>
      </x:c>
      <x:c r="O28" s="5" t="str"/>
      <x:c r="P28" s="5" t="str"/>
      <x:c r="Q28" s="5" t="str"/>
      <x:c r="R28" s="5" t="str">
        <x:v>1.
「蛋白粉排名」90%的新手都买错了，氨基酸、优缺点、价格 #健身 #蛋白粉 #增肌 #减肥
2.
锐评我喝过的蛋白粉#蛋白粉推荐 #新手健身 #蛋白质 #新手健身知识
3.
10分钟 教你如何正确的选择蛋白粉 #运动 #健身 #蛋白质#Foyes长效蛋白粉
4.
新手 健身 改 如何 选择 健身 补剂 ， 什么 补剂 值得 选 ， 什么 没 必要 去 买 # 健身 # 健身 补剂
5.
蛋白粉暴涨70%！12款蛋白粉推荐，谁才是真正的性价比之王？ 真是万万没想到，这些年什么都跌，唯独咱们刚需的蛋白粉涨上了天！看着从448涨到768的同款，我决定必须做一期视频，帮大家探探路。这次的12
6.
蛋白粉这个东西买对不买贵，新手不知道怎么选蛋白粉的可以看看！一条视频把蛋白粉的类型讲明白，让大家挑选到适合自己的蛋白粉！#健身补剂 #蛋白粉推荐 #蛋白粉 #健身干货 #蛋白粉测评
7.
明报 : 健康 生活 【 大 只 奶粉 】 拆解 蛋白粉 成分 、 类型 要 增 肌 蛋白 - 深水埗 地区 康健 中心
8.
✨ 常见 蛋白粉 详解 新手 直接 闭眼 抄 作业 # 健身 # 蛋白粉 # 健身 新手 # 蛋白粉 选购 指南 # 力量 训练
9.
Whey vs Casein vs Isolate: Which Protein Powder Is Best? UK Guide
10.
Best Protein Powder 2026: Whey vs Casein vs Plant + Safety
11.
proteine del latte differenze whey caseina
12.
【 赵倩玉 】 如何 合理 选择 蛋白粉 ?</x:v>
      </x:c>
      <x:c r="S28" s="5" t="str">
        <x:v>https://www.iesdouyin.com/share/video/7567283283441093888
https://www.iesdouyin.com/share/video/7680550358541024174
https://www.iesdouyin.com/share/video/7688218697520958760
https://www.iesdouyin.com/share/video/7626316634679954688
https://www.iesdouyin.com/share/video/7689761448104381723
https://www.iesdouyin.com/share/video/7673154785730497189
https://www.sspdhc.org.hk/activity/healthInfo-details/18
https://www.iesdouyin.com/share/video/7636504581416979747
https://iwant2be.co.uk/2026/06/25/blog-whey-vs-casein-vs-isolate-which-protein-powder/
https://calorique.io/blog/protein-powder-guide/
https://www.farmaciaintroini.it/2026/06/19/whey-caseina-isolate-o-concentrate-la-guida-definitiva-alle-proteine-del-latte/
https://c.m.163.com/news/a/KBB5NPQG0514AUNL.html</x:v>
      </x:c>
      <x:c r="T28" s="5" t="str">
        <x:v>www.iesdouyin.com
www.iesdouyin.com
www.iesdouyin.com
www.iesdouyin.com
www.iesdouyin.com
www.iesdouyin.com
www.sspdhc.org.hk
www.iesdouyin.com
iwant2be.co.uk
calorique.io
www.farmaciaintroini.it
c.m.163.com</x:v>
      </x:c>
      <x:c r="U28" s="5" t="str">
        <x:v>是</x:v>
      </x:c>
      <x:c r="V28" s="5" t="str"/>
      <x:c r="W28" s="5" t="str">
        <x:v>https://www.doubao.com/chat/38444711853236994</x:v>
      </x:c>
      <x:c r="X28" s="5" t="n">
        <x:v>12</x:v>
      </x:c>
      <x:c r="Y28" s="5" t="str">
        <x:v>否</x:v>
      </x:c>
    </x:row>
    <x:row r="29" ht="34" customHeight="1">
      <x:c r="A29" s="5" t="str">
        <x:v>Q8</x:v>
      </x:c>
      <x:c r="B29" s="5" t="str">
        <x:v>增肌训练喝什么蛋白粉比较合适？</x:v>
      </x:c>
      <x:c r="C29" s="5" t="str">
        <x:v>需求解决</x:v>
      </x:c>
      <x:c r="D29" s="5" t="str">
        <x:v>豆包</x:v>
      </x:c>
      <x:c r="E29" s="5" t="str">
        <x:v>自然</x:v>
      </x:c>
      <x:c r="F29" s="5" t="str">
        <x:v>2026/9/28 15:38:59</x:v>
      </x:c>
      <x:c r="G29" s="5" t="str">
        <x:v>有效</x:v>
      </x:c>
      <x:c r="H29" s="5" t="str">
        <x:v>✅ 一句话结论：绝大多数增肌训练，首选浓缩乳清蛋白（WPC），性价比最高，练后喝最合适
蛋白粉只是饮食的蛋白质补充，不能替代肉、蛋、奶；增肌核心是训练 + 总热量盈余 + 每日足量蛋白。
几种蛋白粉怎么选
1. 浓缩乳清 WPC（新手首选）
蛋白含量：70%~80%，一勺约 20–24g 蛋白，亮氨酸充足（刺激肌肉合成）
特点：吸收快、口感好、价格最便宜；含少量乳糖和脂肪
适合：能喝牛奶、普通增肌、预算正常的人；训练后 30–60 分钟补充
国内品牌：康比特、海德力；海外：ON 欧普特蒙、MP 等
2. 分离乳清 WPI
蛋白：85%~90%，几乎无乳糖、低脂
适合：乳糖不耐受（喝牛奶拉肚子），或者同时想控脂的人；价格比浓缩贵不少
缺点：性价比低，肠胃没问题没必要买
3. 水解乳清 WPH
蛋白提前预分解成短肽，吸收最快，乳糖极低
适合：牛奶蛋白过敏、消化很差；价格最贵，普通增肌完全没必要
4. 酪蛋白（缓释蛋白）
慢吸收，持续数小时稳定释放氨基酸
适合：睡前喝，减少夜间肌肉分解；一般不做练后主力蛋白，可搭配乳清一起用
5. 增肌粉（mass gainer，注意区分！）
如果你很瘦、正餐吃不下足够碳水，选增肌粉（高蛋白 + 大量碳水）；
正常体型、吃饭主食够，不要买增肌粉，碳水超标容易堆脂肪
6. 植物蛋白（大豆 / 豌豆蛋白）
适合素食者；亮氨酸偏低，增肌效果弱于乳清，优先乳清
选购看这 3 点（避坑）
营养表：看每 100g 蛋白质≥70%；一勺（约 30g 粉）蛋白质≥20g，亮氨酸≥2g
配料表第一位：必须是「浓缩乳清蛋白 / 分离乳清」，不是麦芽糊精、白砂糖
尽量选正规运动营养品牌，官方渠道购买
简单饮用建议
目标：增肌每日蛋白 1.6–2.2 g / 每公斤体重（体重 70kg，每天 112–154g 蛋白）
蛋白粉只补缺口：肉蛋鱼虾吃够了，不用喝；正餐蛋白不够，用蛋白粉补齐
时间：练后一杯乳清；睡前想补充可以加酪蛋白（非必需）
快速对号入座
✅ 普通健身增肌、喝牛奶不拉肚子 → 浓缩乳清
✅ 喝牛奶容易腹胀腹泻 → 分离乳清
✅ 很瘦，吃饭很难吃够热量 → 增肌粉
✅ 素食 → 豌豆 / 大豆蛋白
✅ 想睡前防肌肉分解 → 酪蛋白
要不要我给你推荐几款口碑稳定的浓缩乳清，并区分国产 / 进口，方便你直接对比？</x:v>
      </x:c>
      <x:c r="I29" s="5" t="str">
        <x:v>否</x:v>
      </x:c>
      <x:c r="J29" s="5" t="str"/>
      <x:c r="K29" s="5" t="str"/>
      <x:c r="L29" s="5" t="str"/>
      <x:c r="M29" s="5" t="str">
        <x:v>康比特、ON/欧普特蒙</x:v>
      </x:c>
      <x:c r="N29" s="5" t="str">
        <x:v>品牌提及/类型说明</x:v>
      </x:c>
      <x:c r="O29" s="5" t="str"/>
      <x:c r="P29" s="5" t="str"/>
      <x:c r="Q29" s="5" t="str"/>
      <x:c r="R29" s="5" t="str">
        <x:v>1.
挑战一分钟讲明白7大蛋白粉种类，健身想增肌，蛋白粉应该怎么选？#补剂 #蛋白粉 #健身干货 #肌肉
2.
「蛋白粉排名」90%的新手都买错了，氨基酸、优缺点、价格 #健身 #蛋白粉 #增肌 #减肥
3.
新手 健身 改 如何 选择 健身 补剂 ， 什么 补剂 值得 选 ， 什么 没 必要 去 买 # 健身 # 健身 补剂
4.
新手 怎么 选 蛋白粉 ？ 保姆 级 攻略 来了 ！ 全 年龄段 不同 人群 的 蛋白粉 选择 攻略 ， 一条 视频 讲 清楚 ！ # 蛋白粉 # 中老年 蛋白质 粉 # 蛋白质 粉 # 营养 补剂 # 运动 补剂
5.
别再问哪个好，关键是谁更能长肌肉（4种蛋白粉对比） #健身 #蛋白粉 #肌肉 #增肌 #烧毁一切就是美
6.
增 肌 一定 要 喝 蛋白粉 吗 ❓ ⚠ ️ 蛋白粉 的 真相 * 本质 ： 从 牛奶 中 提取 的 乳清 蛋白 ， 浓缩 / 分离 / 水解 * 3 种 类型 ： 浓缩 乳清 （ WPC ） + 分离 乳清 （ WPI ） + 水解 乳清 （ WPH ） * 1 勺 ≈ 20 - 25g 蛋白 （ 相当 于 3 - 4 个 鸡蛋 ） 3 类人 分析 * 类型 1 ： 需要 吃
7.
蛋白粉价格统计。蛋白粉统计，只看价格和蛋白质含量，无广。欢迎各路大佬避雷#健身#蛋白粉
8.
还分不清各种蛋白粉？不知道蛋白粉怎么选？一张图片告诉你！ ALLMAX酪蛋白饱腹感强，营养缓慢释放，适合减脂期控制饮食和消化功能较弱的人群！👊🏻 ALLMAX金标乳清，浓缩加分离双重蛋白原！75%蛋白
9.
浓缩、分离、水解、酪，怎么选？ #知识分享 #干货 #蛋白粉 #健身 #增肌
10.
目前市面上主流的蛋白粉就三种，要记住含量75%以上的才能叫做蛋白粉。TB上有一种含量百分之25%，叫增肌粉，效果和一碗大米饭相当，一定要看仔细了！ 蛋白粉的种类： [飞盘R]乳清蛋白粉适合健身人群，吸
11.
蛋白粉大致种类。现在市面上的蛋白粉五花八门，什么三重四重五重六重的，搞得大家都比较乱，很多兄弟们不太了解。在这里我简单的做一个分类，大家可以参考一下。#蛋白粉 #多重矩阵#水解#分离#浓缩</x:v>
      </x:c>
      <x:c r="S29" s="5" t="str">
        <x:v>https://www.iesdouyin.com/share/video/7581900093691874598
https://www.iesdouyin.com/share/video/7567283283441093888
https://www.iesdouyin.com/share/video/7626316634679954688
https://www.iesdouyin.com/share/video/7586571460421422372
https://www.iesdouyin.com/share/video/7626008363734352497
https://www.iesdouyin.com/share/video/7680770039281137590
https://www.iesdouyin.com/share/video/7368352449242959114
https://www.iesdouyin.com/share/video/7628798551992530097
https://www.iesdouyin.com/share/video/7573995525675027718
https://www.iesdouyin.com/share/video/7640264149096549491
https://www.iesdouyin.com/share/video/7618008602519160169</x:v>
      </x:c>
      <x:c r="T29" s="5" t="str">
        <x:v>www.iesdouyin.com
www.iesdouyin.com
www.iesdouyin.com
www.iesdouyin.com
www.iesdouyin.com
www.iesdouyin.com
www.iesdouyin.com
www.iesdouyin.com
www.iesdouyin.com
www.iesdouyin.com
www.iesdouyin.com</x:v>
      </x:c>
      <x:c r="U29" s="5" t="str">
        <x:v>是</x:v>
      </x:c>
      <x:c r="V29" s="5" t="str"/>
      <x:c r="W29" s="5" t="str">
        <x:v>https://www.doubao.com/chat/38444445061589506</x:v>
      </x:c>
      <x:c r="X29" s="5" t="n">
        <x:v>11</x:v>
      </x:c>
      <x:c r="Y29" s="5" t="str">
        <x:v>否</x:v>
      </x:c>
    </x:row>
    <x:row r="30" ht="34" customHeight="1">
      <x:c r="A30" s="5" t="str">
        <x:v>Q9</x:v>
      </x:c>
      <x:c r="B30" s="5" t="str">
        <x:v>100元左右有什么蛋白粉推荐？</x:v>
      </x:c>
      <x:c r="C30" s="5" t="str">
        <x:v>购买推荐</x:v>
      </x:c>
      <x:c r="D30" s="5" t="str">
        <x:v>豆包</x:v>
      </x:c>
      <x:c r="E30" s="5" t="str">
        <x:v>自然</x:v>
      </x:c>
      <x:c r="F30" s="5" t="str">
        <x:v>2026/9/28 15:39:19</x:v>
      </x:c>
      <x:c r="G30" s="5" t="str">
        <x:v>有效</x:v>
      </x:c>
      <x:c r="H30" s="5" t="str">
        <x:v>✅100 元左右蛋白粉推荐（分 3 类，按需选）
先说重点：纯乳清在 100 元价位基本只能买到小桶 / 活动款；这个价位性价比主力是酵母蛋白（0 乳糖），其次是动植物双蛋白（日常营养，不是健身增肌首选）
1. 酵母蛋白｜乳糖不耐首选，健身平价口粮（80～100 元，2 磅≈900g）
蛋白含量 75%～83%，不含乳糖，氨基酸评分满分，适合喝牛奶拉肚子、预算有限的健身人群；缺点：口感轻微沙沙、容易挂杯、泡沫多
概特酵母蛋白粉：80 多到手 2 磅，香芋奶茶、绿豆雪糕口味口碑好，安琪酵母原料，很多学生党口粮款
Allkeep 酵母蛋白：同安琪 Anpro 原料，蛋白含量稳定，玉米冰沙味，活动价约 90 多 / 2 磅
米当卡酵母蛋白：口味选择多，推荐先买试用装试口感，避免直接买大桶喝不惯
2. 国产乳清蛋白｜想要动物蛋白，蹲活动（99 元左右，2 磅）
正常乳清比较贵，只有大促销才会出现 99 元 2 磅国产浓缩乳清，蛋白约 75%，适合普通健身；有乳糖，乳糖不耐会胀气
赛霸小桶乳清：活动偶尔 99 元小规格，国产热门乳清，口味多，大白兔奶糖味好评多，优先蹲大促
提醒：不要买杂牌散装乳清，容易虚标蛋白
3. 动植物双蛋白（乳清 + 大豆蛋白）｜不健身，日常补充营养（70-99 元 / 900g）
蛋白含量偏低（20%～30%），不是健身增肌用，适合老人、早餐补充蛋白质，别当成健身蛋白粉
康恩贝、美莱健、敬修堂蛋白粉：经常买一送一，适合日常营养，不适合健身训练后补蛋白
📌选购避坑（非常重要）
看营养表：健身用，每 100g 蛋白≥70g；如果只有 20 多 g，属于营养粉，不是健身蛋白粉
乳糖不耐：直接选酵母蛋白，不要乳清
不要买超便宜散装大豆粉：蛋白利用率低，氨基酸不全，不适合单独作为训练补剂
酵母蛋白冲泡技巧：先加水再加粉，使劲摇，冲完尽快喝，放久会沉淀
快速怎么选
✅健身、乳糖不耐：概特 / Allkeep 酵母蛋白
✅健身、能喝牛奶、能蹲大促：赛霸国产乳清
✅老人 / 日常早餐补蛋白：康恩贝、美莱健双蛋白
要不要我帮你算一下这几款每块钱能买到多少蛋白质，方便直接对比性价比？</x:v>
      </x:c>
      <x:c r="I30" s="5" t="str">
        <x:v>否</x:v>
      </x:c>
      <x:c r="J30" s="5" t="str"/>
      <x:c r="K30" s="5" t="str"/>
      <x:c r="L30" s="5" t="str"/>
      <x:c r="M30" s="5" t="str">
        <x:v>赛霸/小赛同学、概特/盖特、米当卡、ALLKEEP、康恩贝</x:v>
      </x:c>
      <x:c r="N30" s="5" t="str">
        <x:v>品牌提及/类型说明</x:v>
      </x:c>
      <x:c r="O30" s="5" t="str"/>
      <x:c r="P30" s="5" t="str"/>
      <x:c r="Q30" s="5" t="str"/>
      <x:c r="R30" s="5" t="str">
        <x:v>1.
9月份蛋白粉推荐 A57:9月份蛋白粉推荐。很多之前推荐的蛋白粉要么涨价了，要么断货了，所以就出了这份9月份蛋白粉推荐，那你现在喝的是什么蛋白粉呢？#蛋白粉 #蛋白粉推荐 #蛋白粉测评 #酵母蛋白 #
2.
酵母蛋白个人分享。我前前后后喝过不少酵母蛋白，刷了好多券之后入手价格特别划算。提醒下大家别买五磅装的，量大很容易喝腻，最后剩大半罐好浪费。
3.
遇到好价就忍不住囤货#酵母蛋白粉 #蛋白粉价格
4.
这个价格怎么样？#蛋白粉推荐 #酵母蛋白 #蛋白粉
5.
蛋白粉推荐 四个价位从低到高，不含广告，总有一款适合你#酵母蛋白 #乳清蛋白 #蛋白粉推荐#米当卡酵母蛋白粉
6.
补充营养的蛋白粉-补充营养的蛋白粉促销价格、补充营养的蛋白粉品牌 - 淘宝
7.
四大蛋白粉品牌。#创作者中心 #创作灵感 #蛋白粉#蛋白粉测评#蛋白粉推荐
8.
你的蛋白粉在第几梯队？#真实生活分享计划 #蛋白粉排行榜前十名 #蛋白粉测评#哪种蛋白粉比较好 #蛋白粉
9.
今天给大家整理了六款市面上常见的六款植物蛋白粉。希望大家在选购蛋白粉的时候能帮助到大家#术后恢复 #蛋白粉
10.
一个视频锐评市面上的分离乳清蛋白粉#蛋白粉
11.
有没有兄弟吃过这款的，效果怎么样#健身 #蛋白粉 #健身干货
12.
野兽 乳清 蛋白 粉 100 多 块钱 到手 一桶 ， 1 . 65 磅 ， 每天 喝 一份 可以 喝 2 个 多月 ， 折合 下来 一 天 也就 一瓶 水 钱 # 北欧 海盗 蛋白粉 # 北欧 海盗 # 北欧 海盗 运动 营养 # 蛋白粉 推荐
13.
蛋白粉 900 克 - 蛋白粉 900 克 促销 价格 、 蛋白粉 900 克 品牌 - 淘宝
14.
想 喝 蛋白粉 的 ， 这 波 活动 不要 错过 # 蛋白粉
15.
健康的乳清protien粉有助于更好的消化-Alibaba.com
16.
真的 一口 沦陷 🔥 巨 好喝 巨 好喝 蛋白粉 🔥 每 包 才 100 多 大卡 ！ 蛋白质 79 克 绝 了 ！ # 酵母 蛋白粉 # 闪现 小白 酵母 蛋白粉</x:v>
      </x:c>
      <x:c r="S30" s="5" t="str">
        <x:v>https://www.iesdouyin.com/share/video/7681888051950356465
https://www.iesdouyin.com/share/video/7683738591008617062
https://www.iesdouyin.com/share/video/7688599387844454890
https://www.iesdouyin.com/share/video/7663744412631231666
https://www.iesdouyin.com/share/video/7652575831549562122
https://mobile-phone.taobao.com/chanpin/d9626de2b4376e17a7fd6c781714d91d4d68be1e2933b6356153ac7427035c50.html
https://www.iesdouyin.com/share/video/7585740545486851369
https://www.iesdouyin.com/share/video/7588040089142769235
https://www.iesdouyin.com/share/video/7599492376453247419
https://www.iesdouyin.com/share/video/7571762221413135743
https://www.iesdouyin.com/share/video/7617802422660216482
https://www.iesdouyin.com/share/video/7670889092679249123
https://mobile-phone.taobao.com/chanpin/7a0013fa95aa56dcfcd1751c74bc14ca.html
https://www.iesdouyin.com/share/video/7668108391751892142
https://chinese.alibaba.com/g/whey-protien-powder.html
https://www.iesdouyin.com/share/video/7673095788603413734</x:v>
      </x:c>
      <x:c r="T30" s="5" t="str">
        <x:v>www.iesdouyin.com
www.iesdouyin.com
www.iesdouyin.com
www.iesdouyin.com
www.iesdouyin.com
mobile-phone.taobao.com
www.iesdouyin.com
www.iesdouyin.com
www.iesdouyin.com
www.iesdouyin.com
www.iesdouyin.com
www.iesdouyin.com
mobile-phone.taobao.com
www.iesdouyin.com
chinese.alibaba.com
www.iesdouyin.com</x:v>
      </x:c>
      <x:c r="U30" s="5" t="str">
        <x:v>是</x:v>
      </x:c>
      <x:c r="V30" s="5" t="str"/>
      <x:c r="W30" s="5" t="str">
        <x:v>https://www.doubao.com/chat/38444462921483778</x:v>
      </x:c>
      <x:c r="X30" s="5" t="n">
        <x:v>16</x:v>
      </x:c>
      <x:c r="Y30" s="5" t="str">
        <x:v>否</x:v>
      </x:c>
    </x:row>
    <x:row r="31" ht="34" customHeight="1">
      <x:c r="A31" s="5" t="str">
        <x:v>Q10</x:v>
      </x:c>
      <x:c r="B31" s="5" t="str">
        <x:v>性价比高的蛋白粉有哪些？</x:v>
      </x:c>
      <x:c r="C31" s="5" t="str">
        <x:v>购买推荐</x:v>
      </x:c>
      <x:c r="D31" s="5" t="str">
        <x:v>豆包</x:v>
      </x:c>
      <x:c r="E31" s="5" t="str">
        <x:v>自然</x:v>
      </x:c>
      <x:c r="F31" s="5" t="str">
        <x:v>2026/9/28 15:39:44</x:v>
      </x:c>
      <x:c r="G31" s="5" t="str">
        <x:v>有效</x:v>
      </x:c>
      <x:c r="H31" s="5" t="str">
        <x:v>高性价比蛋白粉推荐（按预算排序，主打浓缩乳清，适合绝大多数健身 / 日常补蛋白人群）
性价比核心：看每克蛋白质成本，不是看桶的总价；优先选配料表第一位是浓缩乳清蛋白的产品。
国产高性价比乳清（首选，品控稳、价格低）
赛霸 浓缩乳清 / 三重乳清
国产性价比标杆，5 磅大桶，蛋白约 72%～75%，活动价很香。粉质、口味多，适合长期日常补充；缺点：大桶一次性囤货，口味看个人接受度。
Tierone（T1）乳清
国内少数拿到 Informed-Protein 运动员检测认证，原料安全有保障，蛋白≈72%，调味做得更好，奶茶、太妃摩卡口碑好，适合担心虚标、想口感好的人。
紫光优健（紫光三重乳清）
三重乳清配方，蛋白含量高，活动价 5 磅经常 300 多，国产老牌，适合增肌长期喝。
康比特乳清
国内运动补剂大厂，线下健身房常见，品控稳定，适合新手；价格比上面几个略贵，胜在售后和正规渠道，新手买不容易踩坑。
进口性价比乳清（活动大促入手，平时偏贵）
ON 欧普特蒙金标乳清
国际经典款，蛋白约 75%，口味多、溶解度好。一定要等大促，5 磅 400 左右才值得入手；日常原价性价比一般，注意甄别假货，官方渠道购买。
Yamamoto 乳清（意大利）
欧洲热门，蛋白高、亮氨酸不错，大促时性价比优秀，巧克力口味口碑强；同样注意假货问题。
极致低价方案（预算极低、不追求乳清）
酵母蛋白粉（京造 / All keep）
价格远低于乳清，0 乳糖，适合乳糖不耐、预算紧张，PDCAAS 满分；缺点：口感拉嗓子、易沉淀，练后吸收速度不如乳清，更适合日常膳食蛋白补充，不优先推荐给高强度健身人群。
特殊人群选择
✅ 乳糖不耐、喝乳清拉肚子：选分离乳清（赛霸、T1、ON 都有分离款，价格更高，乳糖几乎去除）
✅ 减脂控碳水：优先分离乳清，碳水低
✅ 瘦子增重、热量不够：直接选增肌粉（碳水 + 蛋白，不要用乳清硬堆热量）
选购避坑要点
别被 “5 重 / 8 重复合蛋白” 噱头迷惑，很多是掺便宜蛋白拉低成本，优先浓缩乳清为主
比价公式：每克蛋白单价 = 桶价格 ÷（净重 × 蛋白含量）
尽量先买小样试口味，大桶不好喝直接浪费
低于市场价太多的进口粉警惕假货；临期低价要确认能不能在保质期内喝完
蛋白粉只是膳食补充，优先靠鸡蛋、牛奶、瘦肉获取蛋白质
要不要我根据你的情况帮你缩到 1 款最合适的：你是健身增肌还是日常补蛋白、有没有乳糖不耐，预算大概多少？</x:v>
      </x:c>
      <x:c r="I31" s="5" t="str">
        <x:v>否</x:v>
      </x:c>
      <x:c r="J31" s="5" t="str"/>
      <x:c r="K31" s="5" t="str"/>
      <x:c r="L31" s="5" t="str"/>
      <x:c r="M31" s="5" t="str">
        <x:v>Keep、赛霸/小赛同学、ALLKEEP、康比特、紫光优健、ON/欧普特蒙</x:v>
      </x:c>
      <x:c r="N31" s="5" t="str">
        <x:v>品牌提及/类型说明</x:v>
      </x:c>
      <x:c r="O31" s="5" t="str"/>
      <x:c r="P31" s="5" t="str"/>
      <x:c r="Q31" s="5" t="str"/>
      <x:c r="R31" s="5" t="str">
        <x:v>1.
四款性价比乳清推荐！ #蛋白粉推荐
2.
今年的蛋白粉的性价比排行榜来了！ 包含：国产on、进口on、赛霸、赛霸原生、紫光三重、Hot、Foyes、康比特、训练怪兽、肌肉科技、Yamamoto、Allmax、Allstars、狄马泰斯、Tie
3.
蛋白粉暴涨70%！12款蛋白粉推荐，谁才是真正的性价比之王？ 真是万万没想到，这些年什么都跌，唯独咱们刚需的蛋白粉涨上了天！看着从448涨到768的同款，我决定必须做一期视频，帮大家探探路。这次的12
4.
30多款蛋白粉成分对比！吐血整理！无广。不论您是什么原因需要选购蛋白粉 相信通过这一篇笔记，都能让您对市面上的蛋白粉有一个比较全面的认识（无广！请放心阅读） - 🔝现在市面上最多的就是增肌粉，占据了近
5.
9月份蛋白粉推荐 A57:9月份蛋白粉推荐。很多之前推荐的蛋白粉要么涨价了，要么断货了，所以就出了这份9月份蛋白粉推荐，那你现在喝的是什么蛋白粉呢？#蛋白粉 #蛋白粉推荐 #蛋白粉测评 #酵母蛋白 #
6.
最后一期穷哥们蛋白粉推荐 A43:同品类里面还有更便宜的吧？没有了。混合蛋白疯狂爆雷，各位最近一定要小心。但是赛霸的那款八磅的400多块钱还是很不错的，作为蛋白质的补充没问题。当去年囤的原料卖完，经销
7.
乳清蛋白粉哪个品牌最好 ？ v十大高口碑老牌乳清蛋白粉盘点，奥运冠军同款国货全能蛋白粉首选#乳清蛋白粉十大排名 #蛋白粉 #提高免疫力保健品 #国产蛋白粉推荐 #中老年蛋白粉推荐
8.
国产蛋白粉vs进口蛋白粉！中老年人应该怎么选择#蛋白粉 #蛋白粉测评 #国产蛋白粉 #进口蛋白粉 #蛋白质
9.
国产乳清蛋白粉有望终结乳清涨价魔咒#张大象 #国产乳清#蛋白粉测评
10.
一天四勺蛋白粉多不多。健身时一天喝四勺蛋白粉，到底算不算多啊？会不会因为摄入量超标给身体带来负担呢？ 一天四勺蛋白粉多不多没有固定答案，核心看每勺的蛋白含量、个人训练强度，还有所处的健身阶段——增
11.
突然想起来好像从来没人讲过这个概念，不同的蛋白粉1元=多少蛋白质，所以我做了个总结，大伙看看还有没有性价比更高的。#健身补剂 #蛋白粉 #健身小白必看经验 #蛋白粉推荐 #健身蛋白粉推荐
12.
买蛋白粉怎么看性价比？ 公式 价格/重量*蛋白质含量百分比。然后多个蛋白粉对比，一般来讲大豆蛋白最便宜，其次是浓缩乳清蛋白，最后是分离乳清蛋白和水解乳清蛋白粉最贵，但是吸收也是最好的，氨基酸齐全，综合
13.
蛋白粉你选对了吗？#蛋白粉#控糖早餐#营养师#健康管理#体重管理</x:v>
      </x:c>
      <x:c r="S31" s="5" t="str">
        <x:v>https://www.iesdouyin.com/share/video/7676505862819427825
https://www.iesdouyin.com/share/video/7558315070912990479
https://www.iesdouyin.com/share/video/7689761448104381723
https://www.iesdouyin.com/share/video/7203727027915001144
https://www.iesdouyin.com/share/video/7681888051950356465
https://www.iesdouyin.com/share/video/7674212791776066683
https://www.iesdouyin.com/share/video/7665989848142023946
https://www.iesdouyin.com/share/video/7602073361044246646
https://www.iesdouyin.com/share/video/7688916473423692175
https://www.iesdouyin.com/share/video/7577405408089768421
https://www.iesdouyin.com/share/video/7408196558828621071
https://www.iesdouyin.com/share/video/7620760697382702377
https://www.iesdouyin.com/share/video/7443358658395671819</x:v>
      </x:c>
      <x:c r="T31" s="5" t="str">
        <x:v>www.iesdouyin.com
www.iesdouyin.com
www.iesdouyin.com
www.iesdouyin.com
www.iesdouyin.com
www.iesdouyin.com
www.iesdouyin.com
www.iesdouyin.com
www.iesdouyin.com
www.iesdouyin.com
www.iesdouyin.com
www.iesdouyin.com
www.iesdouyin.com</x:v>
      </x:c>
      <x:c r="U31" s="5" t="str">
        <x:v>是</x:v>
      </x:c>
      <x:c r="V31" s="5" t="str"/>
      <x:c r="W31" s="5" t="str">
        <x:v>https://www.doubao.com/chat/38444462711235330</x:v>
      </x:c>
      <x:c r="X31" s="5" t="n">
        <x:v>13</x:v>
      </x:c>
      <x:c r="Y31" s="5" t="str">
        <x:v>否</x:v>
      </x:c>
    </x:row>
    <x:row r="32" ht="34" customHeight="1">
      <x:c r="A32" s="5" t="str">
        <x:v>Q11</x:v>
      </x:c>
      <x:c r="B32" s="5" t="str">
        <x:v>国产蛋白粉哪个牌子值得买？</x:v>
      </x:c>
      <x:c r="C32" s="5" t="str">
        <x:v>购买推荐</x:v>
      </x:c>
      <x:c r="D32" s="5" t="str">
        <x:v>豆包</x:v>
      </x:c>
      <x:c r="E32" s="5" t="str">
        <x:v>自然</x:v>
      </x:c>
      <x:c r="F32" s="5" t="str">
        <x:v>2026/9/28 15:40:10</x:v>
      </x:c>
      <x:c r="G32" s="5" t="str">
        <x:v>有效</x:v>
      </x:c>
      <x:c r="H32" s="5" t="str">
        <x:v>国产蛋白粉推荐（乳清为主，按需求选）
优先看：蛋白含量、配料表、第三方检测、原料来源；乳清适合健身增肌；普通日常补充可选动植物双蛋白。
✅ 康比特｜稳妥首选，新手 / 追求安全闭眼入
国产补剂老牌子，自有工厂，运动员常用，品控合规稳定，线下健身房很多
主推：炽金乳清（浓缩乳清，蛋白≈75%）；分离乳清适合乳糖不耐，低脂低乳糖
优点：配方适配国人肠胃，有多种维生素矿物质，质检完善，售后稳
缺点：价格偏高，同规格比赛霸贵，部分口味香精偏重
适合：新手、学生、训练人群，怕踩坑、看重品牌安全
✅ 赛霸｜性价比之王，预算有限首选
把国产乳清价格打下来的品牌，用户量最大，口味多、溶解度不错
主推：浓缩乳清（蛋白约 73%），热门大白兔奶糖、可可、乌龙口味
优点：大桶好价时很香，亮氨酸含量高，粉质好冲，不容易结块
缺点：价格波动大，原价买不划算；部分口味容易断货；早期有争议，现在品控稳定
适合：长期喝、量大、追求高性价比健身党
✅ Foyes（西子）｜中高端，原料扎实
同赛霸代工厂，定位更高端，配方干净，很多批次带第三方检测，部分有 Informed Sport 认证（禁药筛查，备赛运动员可用）
优点：乳清原料好，口感顺滑，分离 / 浓缩 / 酪蛋白产品线齐全
缺点：价格高于赛霸
适合：备赛、对原料 / 检测报告有要求，预算中等偏上
✅ 训练怪兽｜口碑黑马，配方干净
主打简约配方，少多余添加，粉质细腻，溶解度优秀，没有过度营销
优点：配料干净，风味清爽不齁甜，实测数据稳定
缺点：口味选择偏少
适合：讨厌很甜、香精重的人
✅ 紫光优健｜分离乳清强款，减脂 / 乳糖不耐
四重乳清配方，分离乳清占比高，低脂低糖，泡沫少，蛋白纯度高
适合：减脂期、乳糖不耐，想要低脂肪的人群
缺点：口味一般，偏清淡
✅ 汤臣倍健 健乐多｜日常普通人补充（非重度健身）
国民营养大牌，动植物双蛋白，不是纯乳清
适合：中老年、日常蛋白质不足、不健身，当做营养补充；不适合高强度增肌
快速选购一句话总结
新手求稳、安全优先 → 康比特炽金
健身长期喝、省钱大碗 → 赛霸（等活动价）
备赛、要第三方禁药检测 → Foyes
减脂、乳糖不耐、要低脂 → 紫光优健
不健身，日常 / 老人补蛋白 → 汤臣倍健健乐多
选购避坑要点
看配料第一位：浓缩乳清蛋白才是乳清；如果是大豆蛋白为主，就是植物蛋白，增肌效率低
每 100g 蛋白含量：浓缩乳清一般 70%~78%；分离乳清≥85%
乳糖不耐：优先分离乳清，不要普通浓缩乳清
尽量等大促（618 / 双 11），国产蛋白粉活动价差非常大
你是健身增肌用，还是日常补充？有没有乳糖不耐，我帮你直接锁定具体产品和口味。</x:v>
      </x:c>
      <x:c r="I32" s="5" t="str">
        <x:v>否</x:v>
      </x:c>
      <x:c r="J32" s="5" t="str"/>
      <x:c r="K32" s="5" t="str"/>
      <x:c r="L32" s="5" t="str"/>
      <x:c r="M32" s="5" t="str">
        <x:v>赛霸/小赛同学、康比特、汤臣倍健、FoYes/赴野士、训练怪兽、紫光优健、健乐多</x:v>
      </x:c>
      <x:c r="N32" s="5" t="str">
        <x:v>品牌提及/类型说明</x:v>
      </x:c>
      <x:c r="O32" s="5" t="str"/>
      <x:c r="P32" s="5" t="str"/>
      <x:c r="Q32" s="5" t="str"/>
      <x:c r="R32" s="5" t="str">
        <x:v>1.
锐评国产乳清相关蛋白 R3:锐评国产的乳清蛋白，混合蛋白和牛奶蛋白就是我喝过的几款，这几款是我喝过的，所以感触比较深，我不会去赛博评价。#蛋白粉 #蛋白粉推荐 #蛋白粉测评 #乳清蛋白 #牛奶蛋白
2.
9月份蛋白粉推荐 A57:9月份蛋白粉推荐。很多之前推荐的蛋白粉要么涨价了，要么断货了，所以就出了这份9月份蛋白粉推荐，那你现在喝的是什么蛋白粉呢？#蛋白粉 #蛋白粉推荐 #蛋白粉测评 #酵母蛋白 #
3.
蛋白粉从夯到拉实力排行#蛋白粉 #从夯到拉 #康比特
4.
不搞虚的，国产蛋白粉怎么选 #健身补剂蛋白粉 #蛋白粉性价比测评 #蛋白粉推荐 #蛋白粉涨价
5.
一句话锐评国产蛋白粉从夯到拉#锐评#蛋白粉#从夯到拉 #补剂#国产蛋白粉
6.
国产蛋白粉排名#蛋白粉排名#蛋白粉推荐#蛋白粉排名第一的品牌
7.
乳清蛋白粉哪个品牌最好 ？ v十大高口碑老牌乳清蛋白粉盘点，奥运冠军同款国货全能蛋白粉首选#乳清蛋白粉十大排名 #蛋白粉 #提高免疫力保健品 #国产蛋白粉推荐 #中老年蛋白粉推荐
8.
个人意见，欢迎探讨～#蛋白粉#蛋白粉怎么选择#蛋白粉健身#蛋白粉排行#健身补剂
9.
国产比较优秀的乳清蛋白粉 #蛋白粉 #补剂 #健身
10.
蛋白粉2026年618选购全解，只聊细节，不乱推荐，让你买粉不踩坑。#蛋白粉 #乳清蛋白 #运动 #健身 #增肌</x:v>
      </x:c>
      <x:c r="S32" s="5" t="str">
        <x:v>https://www.iesdouyin.com/share/video/7687613281725655217
https://www.iesdouyin.com/share/video/7681888051950356465
https://www.iesdouyin.com/share/video/7678581412957521890
https://www.iesdouyin.com/share/video/7663849310089665274
https://www.iesdouyin.com/share/video/7610361041084029041
https://www.iesdouyin.com/share/video/7469028197619764499
https://www.iesdouyin.com/share/video/7665989848142023946
https://www.iesdouyin.com/share/video/7636662617323469962
https://www.iesdouyin.com/share/video/7679742523857933449
https://www.iesdouyin.com/share/video/7641155242523949298</x:v>
      </x:c>
      <x:c r="T32" s="5" t="str">
        <x:v>www.iesdouyin.com
www.iesdouyin.com
www.iesdouyin.com
www.iesdouyin.com
www.iesdouyin.com
www.iesdouyin.com
www.iesdouyin.com
www.iesdouyin.com
www.iesdouyin.com
www.iesdouyin.com</x:v>
      </x:c>
      <x:c r="U32" s="5" t="str">
        <x:v>是</x:v>
      </x:c>
      <x:c r="V32" s="5" t="str"/>
      <x:c r="W32" s="5" t="str">
        <x:v>https://www.doubao.com/chat/38444462790974978</x:v>
      </x:c>
      <x:c r="X32" s="5" t="n">
        <x:v>10</x:v>
      </x:c>
      <x:c r="Y32" s="5" t="str">
        <x:v>否</x:v>
      </x:c>
    </x:row>
    <x:row r="33" ht="34" customHeight="1">
      <x:c r="A33" s="5" t="str">
        <x:v>Q12</x:v>
      </x:c>
      <x:c r="B33" s="5" t="str">
        <x:v>学生党健身适合买什么蛋白粉？</x:v>
      </x:c>
      <x:c r="C33" s="5" t="str">
        <x:v>购买推荐</x:v>
      </x:c>
      <x:c r="D33" s="5" t="str">
        <x:v>豆包</x:v>
      </x:c>
      <x:c r="E33" s="5" t="str">
        <x:v>自然</x:v>
      </x:c>
      <x:c r="F33" s="5" t="str">
        <x:v>2026/9/28 15:40:56</x:v>
      </x:c>
      <x:c r="G33" s="5" t="str">
        <x:v>有效</x:v>
      </x:c>
      <x:c r="H33" s="5" t="str">
        <x:v>✅学生党健身蛋白粉选购核心一句话
普通增肌优先【浓缩乳清蛋白】；预算极低选酵母蛋白；乳糖不耐 / 减脂控热量选分离乳清；蛋白粉只是食补的补充，不是必需品！
目标：弥补食堂吃肉不够的蛋白质缺口，不是代替正餐。
一、蛋白粉类型怎么挑
浓缩乳清蛋白（首选，大部分学生）
蛋白 70%~80%，性价比最高，口感顺滑，练后喝合适；含少量乳糖，牛奶喝了容易拉肚子的慎选。
✅适合：日常力量训练、增肌，肠胃喝牛奶没问题。
分离乳清蛋白
蛋白 90% 左右，几乎 0 乳糖、低脂低碳，价格更贵。
✅适合：乳糖不耐、减脂期严格控热量。
酵母蛋白（极致省钱）
价格只有乳清一半，0 乳糖；缺点口感沙沙、容易沉淀、泡沫多，增肌效果普通健身者感受不出差距。
✅适合：预算紧张、每月生活费有限、乳糖不耐。
酪蛋白
缓释蛋白，睡前喝，价格偏高，学生新手不优先买。
二、品牌推荐（按预算）
💰预算 300～400（5 磅国产浓缩乳清，最推荐）
赛霸：学生网红款，口味多，性价比高，巧克力、抹茶很热门，新手入门首选
迈斯朋克：配方干净，绿豆雪糕口味口碑很好，粉质细腻，泡沫少
康比特：国内老牌，品控稳，线下运动营养品牌，价格略贵一点，靠谱稳妥
💰预算 400+（进口乳清，口味更好）
ON 欧普特蒙金标乳清、肌肉科技，大牌子假货多，一定要官方旗舰店购买
💰预算＜200（极致省钱：酵母蛋白）
京东京造酵母蛋白、All keep，5 磅两百以内，蛋白含量高，就是口感一般，适合预算紧张同学
三、选购避坑（重点！）
看配料表：配料第一位最好是浓缩乳清蛋白，如果第一位是麦芽糊精、白砂糖 = 蛋白饮料，不要买
看营养表：每 100g 蛋白尽量≥70%；别只看桶大，很多大桶里面大量碳水填充
优先买试用装 / 小桶先试口味，避免大桶买回来难喝喝不完
渠道：官方旗舰店，别买微商、低价散粉，容易假货
四、简单使用建议
每天目标：体重 (kg) ×1.6～2.0g 蛋白质（健身人群），优先靠食堂鸡胸、鸡蛋、牛奶、牛肉补，蛋白粉只补缺口
饮用时机：训练结束 30–60 分钟一杯；不训练可以放在早餐或者加餐
一勺大概 25g 蛋白，一天最多 1～2 勺，不要过量，增加肾脏负担
五、快速选择总结
✅正常预算 + 喝牛奶不拉肚子 → 赛霸 / 迈斯朋克 浓缩乳清
✅预算紧、生活费有限 → 酵母蛋白
✅喝牛奶容易腹胀拉肚子、减脂 → 分离乳清
❌不用买水解乳清，太贵，普通健身没必要
你可以告诉我：你是增肌还是减脂、每月大概预算、喝牛奶会不会拉肚子，我帮你直接锁定最合适的一款。</x:v>
      </x:c>
      <x:c r="I33" s="5" t="str">
        <x:v>否</x:v>
      </x:c>
      <x:c r="J33" s="5" t="str"/>
      <x:c r="K33" s="5" t="str"/>
      <x:c r="L33" s="5" t="str"/>
      <x:c r="M33" s="5" t="str">
        <x:v>Keep、赛霸/小赛同学、京东京造、ALLKEEP、康比特、ON/欧普特蒙、肌肉科技</x:v>
      </x:c>
      <x:c r="N33" s="5" t="str">
        <x:v>品牌提及/类型说明</x:v>
      </x:c>
      <x:c r="O33" s="5" t="str"/>
      <x:c r="P33" s="5" t="str"/>
      <x:c r="Q33" s="5" t="str"/>
      <x:c r="R33" s="5" t="str">
        <x:v>1.
蛋白粉暴涨70%！12款蛋白粉推荐，谁才是真正的性价比之王？ 真是万万没想到，这些年什么都跌，唯独咱们刚需的蛋白粉涨上了天！看着从448涨到768的同款，我决定必须做一期视频，帮大家探探路。这次的12
2.
无广告各价格区间的蛋白质选择攻略、迈斯朋克两磅分离189、马泰蓝桶五磅285、都是不错的蛋白粉#创作灵感 #健身补剂 #蛋白粉 #迈斯朋克
3.
给学生党推荐几款性价比蛋白粉.#薄肌背 #学生党 #蛋白粉
4.
穷哥们蛋白粉选购推荐第一弹 本期是国外5磅版乳清级别#花小钱办大事
5.
大学生蛋白质怎么选 看完就明白了#减脂 #增肌
6.
【科普】蛋白粉真的是智商税吗? - 金堂县第一人民医院
7.
✨常见蛋白粉详解 新手直接闭眼抄作业 #健身 #蛋白粉 #健身新手 #蛋白粉选购指南 #力量训练
8.
合理选择蛋白粉
9.
蛋白粉怎么选?增肌减脂要不要喝蛋白粉?乳清、酪蛋白、植物蛋白一次讲清
10.
Best Protein Powder 2026: Whey vs Casein vs Plant + Safety
11.
COMPLETE GUIDE TO PROTEIN AN EXPLANATION OF PROTEIN POWDER SELECTION &amp; TIMING Basics
12.
说说你们心中的大学生蛋白粉排行榜 #蛋白粉#大学生#健身</x:v>
      </x:c>
      <x:c r="S33" s="5" t="str">
        <x:v>https://www.iesdouyin.com/share/video/7689761448104381723
https://www.iesdouyin.com/share/video/7479816444759330087
https://www.iesdouyin.com/share/video/7651112375147881920
https://www.iesdouyin.com/share/video/7640336334602669347
https://www.iesdouyin.com/share/video/7639349695849344369
http://www.jintangyy.com/newshow.aspx?id=15390&amp;mid=415
https://www.iesdouyin.com/share/video/7636504581416979747
https://www.tjzyefy.com/system/2026/03/26/030187038.shtml
https://gymcalc.cn/articles/protein-powder-guide
https://calorique.io/blog/protein-powder-guide/
https://cdn.shopify.com/s/files/1/0338/3269/files/The_Complete_Guide_to_Protein.pdf?6963183
https://www.iesdouyin.com/share/video/7517232275587632422</x:v>
      </x:c>
      <x:c r="T33" s="5" t="str">
        <x:v>www.iesdouyin.com
www.iesdouyin.com
www.iesdouyin.com
www.iesdouyin.com
www.iesdouyin.com
www.jintangyy.com
www.iesdouyin.com
www.tjzyefy.com
gymcalc.cn
calorique.io
cdn.shopify.com
www.iesdouyin.com</x:v>
      </x:c>
      <x:c r="U33" s="5" t="str">
        <x:v>是</x:v>
      </x:c>
      <x:c r="V33" s="5" t="str"/>
      <x:c r="W33" s="5" t="str">
        <x:v>https://www.doubao.com/chat/38444618895836930</x:v>
      </x:c>
      <x:c r="X33" s="5" t="n">
        <x:v>12</x:v>
      </x:c>
      <x:c r="Y33" s="5" t="str">
        <x:v>否</x:v>
      </x:c>
    </x:row>
    <x:row r="34" ht="34" customHeight="1">
      <x:c r="A34" s="5" t="str">
        <x:v>Q13</x:v>
      </x:c>
      <x:c r="B34" s="5" t="str">
        <x:v>有没有比较好喝、容易坚持喝的蛋白粉推荐？</x:v>
      </x:c>
      <x:c r="C34" s="5" t="str">
        <x:v>购买推荐</x:v>
      </x:c>
      <x:c r="D34" s="5" t="str">
        <x:v>豆包</x:v>
      </x:c>
      <x:c r="E34" s="5" t="str">
        <x:v>自然</x:v>
      </x:c>
      <x:c r="F34" s="5" t="str">
        <x:v>2026/9/28 15:41:25</x:v>
      </x:c>
      <x:c r="G34" s="5" t="str">
        <x:v>有效</x:v>
      </x:c>
      <x:c r="H34" s="5" t="str">
        <x:v>好喝、不容易喝腻，适合长期坚持的蛋白粉
核心思路：想坚持，优先选清爽口味（茶味 / 生椰 / 淡奶），别直接买大桶，先买小样试喝！
乳糖容易拉肚子 → 选分离乳清 / 无乳糖款；预算有限、日常补蛋白 → 国产乳清；追求奶茶感 → 进口经典乳清。
✅ 国产口粮款（性价比高，口味很适合国人，首推）
赛霸 乳清蛋白粉
推荐口味：茉莉绿茶、乌龙、大白兔奶糖
优点：茶味款甜度低，不齁，喝很久不容易腻；奶糖味像大白兔奶，顺滑，溶解度不错，价格友好。
适合：日常长期喝、怕甜、预算一般；茶味闭眼入，是很多人的长期口粮。
小缺点：茶味款香气偏淡，喜欢浓甜奶茶感的可能觉得不够重。
康比特乳清
推荐口味：酸奶味、龙井鲜乳
优点：国货老牌，品控稳，酸奶味像淡 AD 钙奶，龙井是淡淡的奶茶感，加冰巨好喝，加了益生菌，肠胃更友好。
适合：新手、平时健身 / 减脂，肠胃偏弱的人。
怡可纳 酵母蛋白（乳糖不耐首选）
推荐口味：绿豆冰沙
优点：不含乳糖，乳糖不耐喝了不胀气；绿豆冰沙加冰块，像喝绿豆沙饮料，没有传统植物蛋白浓重豆腥味。
适合：一喝牛奶就拉肚子、素食，只想清淡饮料口感。
✅ 进口款（口感醇厚，奶茶感强，预算偏高）
ON 奥普帝蒙 金标乳清
推荐口味：双重巧克力
优点：行业经典，粉质细腻，牛奶冲泡 = 浓郁巧克力奶，水冲清淡；溶解度很强，几乎不结块。
缺点：浓甜款，连续喝容易腻，价格更贵；建议交替口味喝。
Myprotein 熊猫乳清
推荐口味：白桃、香草
优点：价格便宜，果味清爽，水冲像果味奶饮，适合大剂量长期补蛋白。
缺点：部分批次香精感略重，粉质略粗，多摇一会儿。
✅ 清爽果汁感分离乳清（减脂期，不爱奶味）
Clear 乳清（透明乳清），冲出来像果汁，没有厚重奶感，低脂清爽，适合讨厌奶味、夏天冰饮，缺点价格偏高。
📌 选购 &amp; 冲泡小技巧（帮你更容易坚持）
一定先买小样试喝！ 口味非常主观，直接买 5 磅大桶踩雷很难喝完。
冲泡公式：冰牛奶 / 冰水 &gt; 常温；少粉多水，降低甜腻感；加冰块最好喝。
乳糖不耐：不要买浓缩乳清，优先分离乳清、酵母蛋白，避免腹胀拉肚子。
口味避雷：抹茶、曲奇、花生酱这类重口味，短期好喝，长期更容易喝腻，不建议作为唯一长期口粮。
蛋白粉只是饮食补充，优先靠肉蛋奶，不要替代正餐。
快速选型一句话
不爱很甜、想长期天天喝：赛霸茉莉绿茶 / 乌龙
乳糖不耐，一喝奶就拉肚子：怡可纳绿豆冰沙
喜欢浓郁巧克力奶茶、预算充足：ON 双重巧克力
新手，想要稳妥国产：康比特酸奶味
你可以告诉我两点，我帮你精准缩到 1 款最合适的：① 平时能不能喝牛奶（是否乳糖不耐）② 偏好清淡茶味 / 浓郁巧克力奶 / 果味？</x:v>
      </x:c>
      <x:c r="I34" s="5" t="str">
        <x:v>是</x:v>
      </x:c>
      <x:c r="J34" s="5" t="str"/>
      <x:c r="K34" s="5" t="n">
        <x:v>4</x:v>
      </x:c>
      <x:c r="L34" s="5" t="str"/>
      <x:c r="M34" s="5" t="str">
        <x:v>怡可纳、赛霸/小赛同学、康比特、Myprotein、ON/欧普特蒙</x:v>
      </x:c>
      <x:c r="N34" s="5" t="str">
        <x:v>顺序列举</x:v>
      </x:c>
      <x:c r="O34" s="5" t="str">
        <x:v>淡淡的奶茶感，加冰巨好喝，加了益生菌，肠胃更友好。 适合：新手、平时健身 / 减脂，肠胃偏弱的人。 怡可纳 酵母蛋白（乳糖不耐首选） 推荐口味：绿豆冰沙 优点：不含乳糖，乳糖不耐喝了不胀气；绿豆冰沙加冰块，像喝绿豆沙饮料，没有传统植物蛋白浓重豆腥味。 适合：一喝牛奶就拉肚子、素食，只想清淡饮料口感。 ✅ 进口款（口感醇厚，奶茶感强，预算偏高） ON 奥普帝蒙 金标乳清 推荐口味：双重巧克力 优点：行业经典，粉质细腻，牛奶冲泡 = 浓郁巧克力奶，水冲清淡；溶解度很强，几乎不结块。 缺点：浓甜款，连续喝容易腻，价格更贵；建议交替口味喝。 Myprotein</x:v>
      </x:c>
      <x:c r="P34" s="5" t="str">
        <x:v>正面</x:v>
      </x:c>
      <x:c r="Q34" s="5" t="str">
        <x:v>酵母蛋白、价格优势、乳糖不耐场景、口感/冲泡体验、运动/健身</x:v>
      </x:c>
      <x:c r="R34" s="5" t="str">
        <x:v>1.
蛋白粉从夯到拉实力排行#蛋白粉 #从夯到拉 #康比特
2.
自费空桶测评6款热门蛋白粉，无广告纯真实体验！ 从封神好喝到踩雷难喝，口味、口感一次性说透 牛肉蛋白、乳清、酵母蛋白全覆盖，选粉不纠结～#健身 #蛋白粉测评 #蛋白粉 #酵母蛋白
3.
最后一期穷哥们蛋白粉推荐 A43:同品类里面还有更便宜的吧？没有了。混合蛋白疯狂爆雷，各位最近一定要小心。但是赛霸的那款八磅的400多块钱还是很不错的，作为蛋白质的补充没问题。当去年囤的原料卖完，经销
4.
蛋白粉 怎么 选 ？ 妥妥 兄弟 们 快乐 粉 啊 ！ 一定 要 把握 好 # 怡 可 纳 酵母 蛋白粉 # 健身 补剂
5.
蛋白粉分享测评 #健身 #蛋白粉 #蛋白粉推荐
6.
留下你现在在喝的蛋白粉 #蛋白粉
7.
蛋白粉从夯到拉 #锐评 #健身 #蛋白粉测评 #520 #FoYes热练玫瑰限定回归
8.
起因是我喝到了网上推荐好喝但自己觉得难以下咽的蛋白粉，想把我喝过的蛋白粉口味做下简评供大家参考。声明一下： 1.个人口味仅供参考，意见不同可以在评论区发表看法。 2.一般而言，分离乳清比较清爽，价格最
9.
#蛋白粉 #健身
10.
我真的宁可喝墙皮 有没有味道清淡甚至没啥味，茶味的蛋白粉，淡淡的就行，快被齁死了#健身日常 #蛋白粉 #不甜 #胰岛素警告
11.
Page 1 - Reviews - Biochem, 100% Whey Protein Isolate Powder, Natural, 12.3 oz (350 g) - iHerb
12.
蛋白粉别乱买！乳清、缓释、矩阵蛋白，到底怎么选！ 很多健身新手分不清乳清、缓释、矩阵蛋白，买错浪费钱。#很多健身新手 #蛋白粉怎么选 #蛋白粉怎么选 #健身补剂科普 #健身干货
13.
9月份蛋白粉推荐 A57:9月份蛋白粉推荐。很多之前推荐的蛋白粉要么涨价了，要么断货了，所以就出了这份9月份蛋白粉推荐，那你现在喝的是什么蛋白粉呢？#蛋白粉 #蛋白粉推荐 #蛋白粉测评 #酵母蛋白 #
14.
丰力富～原味乳清蛋白粉 喜欢看亮氨酸那就看 恒天然原料 纯浓缩乳清蛋白粉 100g里6.2g亮氨酸 还是临期 更加低了 你们自己想呗 谁爱做产品谁做#亮氨酸 #恒天然 #nzmp #蛋白粉 #健身
15.
不会 选 蛋白粉 的 兄弟 看 过来 ！ # 蛋白粉 # 健身 补剂 # 增 肌 # 健身 小白 必 看 经验
16.
大豆分离蛋白是优质蛋白 妥妥的完全蛋白质#蛋白粉 #蛋白质 #健身饮食 #大豆分离蛋白 #健身补剂
17.
锐评酵母蛋白粉（1） R2:酵母蛋白粉出来时间久了，可以说是百花齐放，每家都对于酵母蛋白有一些自己的理解，但是大家都是摸着怡可纳过河，然后竟然有很多做的比怡可纳还有特色。但是，酵母蛋白，还是要从试用装</x:v>
      </x:c>
      <x:c r="S34" s="5" t="str">
        <x:v>https://www.iesdouyin.com/share/video/7678581412957521890
https://www.iesdouyin.com/share/video/7624104708168598194
https://www.iesdouyin.com/share/video/7674212791776066683
https://www.iesdouyin.com/share/video/7669756460344124601
https://www.iesdouyin.com/share/video/7647929002431475449
https://www.iesdouyin.com/share/video/7653803417106770868
https://www.iesdouyin.com/share/video/7641547765676147557
https://www.iesdouyin.com/share/video/7657518487837213114
https://www.iesdouyin.com/share/video/7516919980191124770
https://www.iesdouyin.com/share/video/7670544785137419131
https://jp.iherb.com/r/biochem-100-whey-isolate-protein-natural-12-3-oz-350-g/1804
https://www.iesdouyin.com/share/video/7688206208372690227
https://www.iesdouyin.com/share/video/7681888051950356465
https://www.iesdouyin.com/share/video/7681681648631509989
https://www.iesdouyin.com/share/video/7673777515295126769
https://www.iesdouyin.com/share/video/7674939664159845750
https://www.iesdouyin.com/share/video/7687082340167165093</x:v>
      </x:c>
      <x:c r="T34" s="5" t="str">
        <x:v>www.iesdouyin.com
www.iesdouyin.com
www.iesdouyin.com
www.iesdouyin.com
www.iesdouyin.com
www.iesdouyin.com
www.iesdouyin.com
www.iesdouyin.com
www.iesdouyin.com
www.iesdouyin.com
jp.iherb.com
www.iesdouyin.com
www.iesdouyin.com
www.iesdouyin.com
www.iesdouyin.com
www.iesdouyin.com
www.iesdouyin.com</x:v>
      </x:c>
      <x:c r="U34" s="5" t="str">
        <x:v>是</x:v>
      </x:c>
      <x:c r="V34" s="5" t="str"/>
      <x:c r="W34" s="5" t="str">
        <x:v>https://www.doubao.com/chat/38444445053033730</x:v>
      </x:c>
      <x:c r="X34" s="5" t="n">
        <x:v>17</x:v>
      </x:c>
      <x:c r="Y34" s="5" t="str">
        <x:v>否</x:v>
      </x:c>
    </x:row>
    <x:row r="35" ht="34" customHeight="1">
      <x:c r="A35" s="5" t="str">
        <x:v>Q14</x:v>
      </x:c>
      <x:c r="B35" s="5" t="str">
        <x:v>酵母蛋白粉哪个牌子比较好？</x:v>
      </x:c>
      <x:c r="C35" s="5" t="str">
        <x:v>品牌竞争</x:v>
      </x:c>
      <x:c r="D35" s="5" t="str">
        <x:v>豆包</x:v>
      </x:c>
      <x:c r="E35" s="5" t="str">
        <x:v>自然</x:v>
      </x:c>
      <x:c r="F35" s="5" t="str">
        <x:v>2026/9/28 15:41:45</x:v>
      </x:c>
      <x:c r="G35" s="5" t="str">
        <x:v>有效</x:v>
      </x:c>
      <x:c r="H35" s="5" t="str">
        <x:v>酵母蛋白粉品牌推荐（酵母蛋白原料大多来自安琪 Anpro）
酵母蛋白适合乳糖不耐、素食、预算有限人群；高尿酸 / 痛风人群谨慎，天然酵母嘌呤偏高；优先选 GB24154 运动营养食品 标准，比普通固体饮料管控更严
✅ 怡可纳（行业老牌，稳妥首选）
蛋白约 71%，配料干净，酵母异味控制不错，品控稳定，酵母蛋白开创品牌
优点：配方简单，很少乱加辅料，新手不容易踩坑；有小袋试用装
缺点：口感偏沙、泡沫多，口味选择偏少
👉适合：追求稳定、不想折腾配料，第一次尝试酵母蛋白
✅ Allkeep（口感天花板）
蛋白 73%~75%，Anpro 酵母原料，泡沫少、糊嘴感低，调味优秀（绿豆、阿萨姆奶茶口碑最好）
缺点：经常断货
👉适合：讨厌酵母怪味、对口感要求高
✅ BD 能量（高性价比）
蛋白约 75%，价格便宜，大桶装单价低，口味多
缺点：部分口味难喝，沙感明显
👉适合：预算低、日常长期补充，建议先买小样试口味
✅ 概特（高蛋白版本可选）
有 72% 和83.5% 高蛋白款，天然代糖（甜菊糖苷）+ 天然果粉，部分添加益生元，运动营养食品标准
👉适合：想要更高蛋白含量、偏好天然代糖
✅ 英之素（肠胃弱优先）
蛋白 75%，添加益生菌 + 益生元，运动营养食品标准，脂肪低，适合喝蛋白粉容易胀气的人
👉适合：肠胃敏感、消化偏弱
✅ 南巨（高蛋白性价比款）
蛋白可达 80%，蛋白参数亮眼，价格亲民；缺点是口味普通，新版泡沫变多
👉适合：健身人群，看重蛋白含量，对口感包容度高
选购核心要点
优先看执行标准：GB24154《运动营养食品通则》 &gt; 普通固体饮料 GB/T29602
看原料：优先安琪 Anpro 酵母蛋白原料
看蛋白含量：优选≥70%；看每份蛋白、亮氨酸，不要只看包装大字
必买试用装！酵母蛋白普遍带轻微沙感、酵母味，每个人接受度差别很大，优先绿豆、可可这类谷物口味，避开水果味
尿酸偏高人群：尽量选标注嘌呤的产品，不要大量长期喝
提示：酵母蛋白消化率整体低于乳清蛋白，更适合日常蛋白补足；高强度训练后优先乳清。肾功能异常人群，补充蛋白前建议咨询医生。
要不要我帮你对比酵母蛋白和乳清蛋白，看看你更适合哪一类？</x:v>
      </x:c>
      <x:c r="I35" s="5" t="str">
        <x:v>是</x:v>
      </x:c>
      <x:c r="J35" s="5" t="str"/>
      <x:c r="K35" s="5" t="n">
        <x:v>1</x:v>
      </x:c>
      <x:c r="L35" s="5" t="str">
        <x:v>怡可纳</x:v>
      </x:c>
      <x:c r="M35" s="5" t="str">
        <x:v>怡可纳、概特/盖特、BD能量、ALLKEEP、南巨、英之素</x:v>
      </x:c>
      <x:c r="N35" s="5" t="str">
        <x:v>顺序列举</x:v>
      </x:c>
      <x:c r="O35" s="5" t="str">
        <x:v>人群谨慎，天然酵母嘌呤偏高；优先选 GB24154 运动营养食品 标准，比普通固体饮料管控更严 ✅ 怡可纳（行业老牌，稳妥首选） 蛋白约 71%，配料干净，酵母异味控制不错，品控稳定，酵母蛋白开创品牌 优点：配方简单，很少乱加辅料，新手不容易踩坑；有小袋试用装 缺点：口感偏沙、泡沫多，口味选择偏少 👉适合：追求稳定、不想折腾配料，第一次尝试酵母蛋白 ✅ Allkeep（口感天花板） 蛋白 73%~75%，Anpro 酵母原料，泡沫少、糊嘴感低，调味优秀（绿豆、阿萨姆奶茶口碑最好） 缺点：经常断货 👉适合：讨厌酵母怪味、对口感要求高 ✅ BD 能量（高</x:v>
      </x:c>
      <x:c r="P35" s="5" t="str">
        <x:v>混合</x:v>
      </x:c>
      <x:c r="Q35" s="5" t="str">
        <x:v>酵母蛋白、价格优势、乳糖不耐场景、口感/冲泡体验、运动/健身</x:v>
      </x:c>
      <x:c r="R35" s="5" t="str">
        <x:v>1.
锐评酵母蛋白粉（1） R2:酵母蛋白粉出来时间久了，可以说是百花齐放，每家都对于酵母蛋白有一些自己的理解，但是大家都是摸着怡可纳过河，然后竟然有很多做的比怡可纳还有特色。但是，酵母蛋白，还是要从试用装
2.
依旧快速锐评各大品牌酵母蛋白2.0，从夯到拉。 #酵母蛋白粉 #AllKeep #怡可纳 #米当卡 #BD
3.
6月19日 酵母蛋白粉的一个测评，希望能帮助你 目前已经入手了赛霸的酵母蛋白粉了，后续出一个测评视频 #蛋白粉 #酵母蛋白粉 #健身
4.
【从夯到拉】酵母蛋白粉按照营养成分和配料排行(1) 没有说明具体原料就是80原料，没有说是运动营养食品就是固体饮料 下期见合集 #酵母蛋白 #酵母蛋白粉 #蛋白粉 #蛋白质 #蛋白粉推荐
5.
锐评各种酵母蛋白粉#酵母蛋白 #蛋白粉 #健身
6.
酵母蛋白个人分享。我前前后后喝过不少酵母蛋白，刷了好多券之后入手价格特别划算。提醒下大家别买五磅装的，量大很容易喝腻，最后剩大半罐好浪费。
7.
无广200块钱买蛋白粉 200块钱以内肯定毫无悬念是酵母蛋白的天下，在这里，你可以按照自己的需求，选择自己喜欢的和更偏好的。这些品牌它都有试用装，所以你可以最低成本的试错，因为毕竟有些人还是不太喜欢酵母蛋白的性状口感这些。价格为终端的参考售价。#蛋白粉 #酵母蛋白 #蛋白粉推荐 #蛋白粉测评 #酵母蛋白粉
8.
最最最新新新新新版酵母蛋白锐评，蛋白粉原料涨价了，就喝点补充没这么好的酵母蛋白吧 #锐评 #从夯到拉 #酵母蛋白粉 #酵母蛋白 #蛋白粉原料涨价
9.
【从夯到拉】酵母蛋白粉按营养成分表和配料表排行(3) 没有说明具体原料就是80原料，没有说是运动营养食品就是固体饮料 下期见合集 #酵母蛋白 #蛋白粉 #蛋白粉推荐 #从夯到拉 #蛋白质
10.
酵母蛋白粉的优缺点 看完你就明白了。酵母蛋白粉最近很火，最大的优势确实是便宜，尤其现在乳清蛋白价格偏高，它很容易让人心动。但便宜不等于更适合所有人，吸收利用率、嘌呤/核酸、口感和检测透明度，都得一起看
11.
做补剂 7 年，我敢说 90% 买酵母蛋白粉的人，都踩过这 3 个坑！别再花大价钱买回去大半是糖水了，买之前对照这 3 点挨个核对，绝对不花冤枉钱。#蛋白粉 #新手健身 #健身干货
12.
一条视频教会你酵母蛋白怎么买（纯个人观点） #酵母蛋白粉 #蛋白粉 #蛋白粉推荐 #健身 #健身补剂
13.
酵母蛋白怎么选才能避坑 A33:酵母蛋白怎么选才能避坑，因为很多人对于酵母蛋白还是不接受，那就先选择试用装，然后尽量选择谷物的口味，比如说绿豆，红豆，可可，核桃奶之类的口味，尽量避开水果的调味，就能最大程度的避坑。#酵母蛋白 #蛋白粉 #蛋白粉推荐 #蛋白粉测评 #酵母蛋白粉
14.
三步教你选对酵母蛋白粉，再也不踩坑！ #魔法黑钻 #酵母蛋白粉 #蛋白粉推荐 #健身 #运动健身</x:v>
      </x:c>
      <x:c r="S35" s="5" t="str">
        <x:v>https://www.iesdouyin.com/share/video/7687082340167165093
https://www.iesdouyin.com/share/video/7665706506687862138
https://www.iesdouyin.com/share/video/7652970278221368612
https://www.iesdouyin.com/share/video/7610427454272629689
https://www.iesdouyin.com/share/video/7591801622151047795
https://www.iesdouyin.com/share/video/7683738591008617062
https://www.iesdouyin.com/share/video/7650082186632582897
https://www.iesdouyin.com/share/video/7674269962890835179
https://www.iesdouyin.com/share/video/7613246962205726907
https://www.iesdouyin.com/share/video/7639914609164034801
https://www.iesdouyin.com/share/video/7666805479318670523
https://www.iesdouyin.com/share/video/7628914155789707963
https://www.iesdouyin.com/share/video/7671632618266690225
https://www.iesdouyin.com/share/video/7671217680922168975</x:v>
      </x:c>
      <x:c r="T35" s="5" t="str">
        <x:v>www.iesdouyin.com
www.iesdouyin.com
www.iesdouyin.com
www.iesdouyin.com
www.iesdouyin.com
www.iesdouyin.com
www.iesdouyin.com
www.iesdouyin.com
www.iesdouyin.com
www.iesdouyin.com
www.iesdouyin.com
www.iesdouyin.com
www.iesdouyin.com
www.iesdouyin.com</x:v>
      </x:c>
      <x:c r="U35" s="5" t="str">
        <x:v>是</x:v>
      </x:c>
      <x:c r="V35" s="5" t="str"/>
      <x:c r="W35" s="5" t="str">
        <x:v>https://www.doubao.com/chat/38444462781756162</x:v>
      </x:c>
      <x:c r="X35" s="5" t="n">
        <x:v>14</x:v>
      </x:c>
      <x:c r="Y35" s="5" t="str">
        <x:v>否</x:v>
      </x:c>
    </x:row>
    <x:row r="36" ht="34" customHeight="1">
      <x:c r="A36" s="5" t="str">
        <x:v>Q15</x:v>
      </x:c>
      <x:c r="B36" s="5" t="str">
        <x:v>国产运动营养品牌有哪些值得关注？</x:v>
      </x:c>
      <x:c r="C36" s="5" t="str">
        <x:v>品牌竞争</x:v>
      </x:c>
      <x:c r="D36" s="5" t="str">
        <x:v>豆包</x:v>
      </x:c>
      <x:c r="E36" s="5" t="str">
        <x:v>自然</x:v>
      </x:c>
      <x:c r="F36" s="5" t="str">
        <x:v>2026/9/28 15:42:10</x:v>
      </x:c>
      <x:c r="G36" s="5" t="str">
        <x:v>有效</x:v>
      </x:c>
      <x:c r="H36" s="5" t="str">
        <x:v>国产运动营养品牌推荐，按定位划分
1. 康比特（CPT）｜专业标杆，国家队级
国内运动营养龙头、北交所上市，自有工厂 + CNAS 实验室，反兴奋剂认证，很多专业队使用，参与国内运动营养国标制定。
产品线：乳清、分离乳清、肌酸、氮泵、能量胶、电解质、减脂类补剂全覆盖；配方更贴合国人乳糖耐受情况。
适合：专业运动员、备赛人群、看重品控安全，预算中等偏上。
短板：价格比电商网红品牌略贵。
2. 赛霸｜超高性价比，健身房热门
电商起家，衡美代工，主打大桶装乳清、一水肌酸，价格很香，是健身圈爆款。
产品线：浓缩乳清、分离乳清、肌酸、支链、谷氨酰胺，基础补剂为主。
适合：学生、健身新手、日常力量训练，追求高性价比。
特点：蛋白实测稳定，口味选择多，大包装单价低。
3. 诺特兰德（斯伯特，中国本土运营）｜大众全覆盖
国内济南建厂，线上营销很强，产品线非常广，不止健身补剂，还有维生素、体重管理、便携电解质。
产品线：乳清、肌酸、氮泵、左旋、益生菌、便携条装。
适合：新手、减脂人群、普通运动爱好者，喜欢小条便携款。
注意：品牌源头是海外，但国内业务、生产、运营完全本土。
4. 训练怪兽｜硬核健身向
主打力量训练人群，配方设计偏向进阶训练，乳清、肌酸、氮泵、促睾类，口味清爽。
适合：有训练基础、撸铁爱好者，想要进阶氮泵。
5. 迈胜（蒙牛旗下）｜耐力运动专项
主打跑步、马拉松、铁三，能量胶、电解质饮料、蛋白瓶、甜菜根补给，属于耐力赛道国货代表，蒙牛背书，品控靠谱。
适合：长跑、越野、骑行人群，需要长距离赛事补给。
6. TIERONE（T1）｜精品小众，重视第三方检测
国内健身人创立，原料甄选，很多批次做 Informed-Protein（反兴奋剂）检测，配方干净，乳清蛋白品质优秀，定位中端精品。
适合：进阶爱好者，在意原料透明、不想多余添加剂。
7. 紫光优健 Powerbuff｜工厂出身品牌
原本是国内大型补剂代工厂，推出自有品牌，分离乳清配方堆料足，蛋白含量高，硬核玩家关注比较多。
8. 怡可纳｜轻量化、入门平价
主打平价肌酸、电解质、便携蛋白，价格门槛低，适合新手试水。
简单选购参考
✅ 安全优先、专业训练：康比特
✅ 预算有限、基础增肌：赛霸
✅ 跑步 / 长距离耐力：迈胜
✅ 进阶健身、追求干净配方：TIERONE
✅ 新手入门、便携小包装：诺特兰德 / 怡可纳
选购提醒
认准GB 24154 运动营养食品国标，不要买普通固体饮料冒充补剂；
竞技备赛人群，优先选带反兴奋剂认证（Informed Choice/Informed Protein）的产品；
补剂只是膳食补充，不能替代正常饮食。
如果你需要，我可以再给你整理一份国产肌酸、乳清横向对比清单。</x:v>
      </x:c>
      <x:c r="I36" s="5" t="str">
        <x:v>是</x:v>
      </x:c>
      <x:c r="J36" s="5" t="n">
        <x:v>8</x:v>
      </x:c>
      <x:c r="K36" s="5" t="n">
        <x:v>8</x:v>
      </x:c>
      <x:c r="L36" s="5" t="str">
        <x:v>康比特</x:v>
      </x:c>
      <x:c r="M36" s="5" t="str">
        <x:v>怡可纳、赛霸/小赛同学、康比特、诺特兰德、训练怪兽、迈胜、紫光优健</x:v>
      </x:c>
      <x:c r="N36" s="5" t="str">
        <x:v>明确编号推荐</x:v>
      </x:c>
      <x:c r="O36" s="5" t="str">
        <x:v>原本是国内大型补剂代工厂，推出自有品牌，分离乳清配方堆料足，蛋白含量高，硬核玩家关注比较多。 8. 怡可纳｜轻量化、入门平价 主打平价肌酸、电解质、便携蛋白，价格门槛低，适合新手试水。 简单选购参考 ✅ 安全优先、专业训练：康比特 ✅ 预算有限、基础增肌：赛霸 ✅ 跑步 / 长距离耐力：迈胜 ✅ 进阶健身、追求干净配方：TIERONE ✅ 新手入门、便携小包装：诺特兰德 / 怡可纳 选购提醒 认准GB 24154 运动营养食品国标，不要买普通固体饮料冒充补剂； 竞技备赛人群，优先选带反兴奋剂认证（Informed Choice/Informed Prot</x:v>
      </x:c>
      <x:c r="P36" s="5" t="str">
        <x:v>中性</x:v>
      </x:c>
      <x:c r="Q36" s="5" t="str">
        <x:v>价格优势、运动/健身、专业/研发</x:v>
      </x:c>
      <x:c r="R36" s="5" t="str">
        <x:v>1.
很多健身朋友选补剂，只看价格、只信网红推荐。 其实康比特贵一点点，贵在品控更严、更安全，贵在吸收率更高。 同样一勺粉，吸收更好不浪费，乳糖不耐也能喝。 专为中国人定制，不照搬欧美配方，更适合国人体质！
2.
看一个抽象的 一个新兴的蛋白粉品牌。#蛋白粉#蛋白粉新手推荐 #蛋白补给神器 #女性健康#女性力量
3.
国产蛋白粉排名#蛋白粉排名#蛋白粉推荐#蛋白粉排名第一的品牌
4.
致胜营养，尽在TIERONE！TIERONE是一家中国本土运动营养品牌，专注于运动营养行业。创始人有十年训练经验，持有NSCA-CSCS、公共营养师三级认证。所有产品原料及配方由创始人亲自筛选把关。我
5.
常见的国产氮泵，兄弟们喝了几款，效果评论区见，等你来补充劲大的#氮泵 #健身补剂
6.
山东青年，打垮一个暴利行业 济南青年卖保健品，进账40亿 #保健品 #健身 #诺特兰德 #暴利行业 #山东
7.
创作不易，麻烦兄弟们点个赞和收藏，下期进口版继续‼️ #赛霸 #马泰时刻 #诺特兰德 #冲肌波 #蛋白粉
8.
兄弟们买国产肌酸你们觉得买哪个合适哪个性价比最高？#补剂 #蛋白粉 #肌酸 #健身 #性价比
9.
9月份蛋白粉推荐 A57:9月份蛋白粉推荐。很多之前推荐的蛋白粉要么涨价了，要么断货了，所以就出了这份9月份蛋白粉推荐，那你现在喝的是什么蛋白粉呢？#蛋白粉 #蛋白粉推荐 #蛋白粉测评 #酵母蛋白 #
10.
锐评我喝过的一水肌酸，个人评价，仅供兄弟们参考#锐评 #肌酸
11.
@训练怪兽官方旗舰店 感谢训练怪兽的大力支持</x:v>
      </x:c>
      <x:c r="S36" s="5" t="str">
        <x:v>https://www.iesdouyin.com/share/video/7671960136793797504
https://www.iesdouyin.com/share/video/7678701705357371822
https://www.iesdouyin.com/share/video/7469028197619764499
https://www.iesdouyin.com/share/video/7408089310169271567
https://www.iesdouyin.com/share/video/7215801059892120836
https://www.iesdouyin.com/share/video/7516408897373080895
https://www.iesdouyin.com/share/video/7409249013964344616
https://www.iesdouyin.com/share/video/7442356312056286504
https://www.iesdouyin.com/share/video/7681888051950356465
https://www.iesdouyin.com/share/video/7613602620342619444
https://www.iesdouyin.com/share/video/7450402182744132899</x:v>
      </x:c>
      <x:c r="T36" s="5" t="str">
        <x:v>www.iesdouyin.com
www.iesdouyin.com
www.iesdouyin.com
www.iesdouyin.com
www.iesdouyin.com
www.iesdouyin.com
www.iesdouyin.com
www.iesdouyin.com
www.iesdouyin.com
www.iesdouyin.com
www.iesdouyin.com</x:v>
      </x:c>
      <x:c r="U36" s="5" t="str">
        <x:v>是</x:v>
      </x:c>
      <x:c r="V36" s="5" t="str"/>
      <x:c r="W36" s="5" t="str">
        <x:v>https://www.doubao.com/chat/38444619318161666</x:v>
      </x:c>
      <x:c r="X36" s="5" t="n">
        <x:v>11</x:v>
      </x:c>
      <x:c r="Y36" s="5" t="str">
        <x:v>是</x:v>
      </x:c>
    </x:row>
    <x:row r="37" ht="34" customHeight="1">
      <x:c r="A37" s="5" t="str">
        <x:v>Q16</x:v>
      </x:c>
      <x:c r="B37" s="5" t="str">
        <x:v>除了乳清蛋白，还有哪些适合健身人群的蛋白来源？</x:v>
      </x:c>
      <x:c r="C37" s="5" t="str">
        <x:v>品牌竞争</x:v>
      </x:c>
      <x:c r="D37" s="5" t="str">
        <x:v>豆包</x:v>
      </x:c>
      <x:c r="E37" s="5" t="str">
        <x:v>自然</x:v>
      </x:c>
      <x:c r="F37" s="5" t="str">
        <x:v>2026/9/28 15:42:30</x:v>
      </x:c>
      <x:c r="G37" s="5" t="str">
        <x:v>有效</x:v>
      </x:c>
      <x:c r="H37" s="5" t="str">
        <x:v>健身人群除乳清蛋白外的优质蛋白质来源
分为蛋白粉类（补剂）和天然食物类，各自特点、适用场景给你整理好：
一、蛋白粉类补剂（方便、吸收快，适合加餐 / 训练后）
酪蛋白（胶束酪蛋白）
缓释蛋白，消化吸收慢，持续供氨基酸数小时。适合睡前喝，减少夜间肌肉分解；饱腹感强，减脂期友好。缺点：吸收速度远慢于乳清，训练后不优先选。
分离大豆蛋白
植物蛋白里氨基酸评分最高，低脂、无胆固醇，适合素食者、乳糖不耐人群。含大豆异黄酮；注意普通大豆蛋白氨基酸略缺蛋氨酸，分离款会优化。
豌豆蛋白
低致敏、无乳糖，氨基酸均衡，支链氨基酸不错。质地偏厚重，适合素食、蛋奶不耐受的人。
大米蛋白
低过敏，易消化，单独赖氨酸偏低，一般和豌豆蛋白搭配使用。
鸡蛋蛋白粉（蛋清粉）
完全蛋白，氨基酸模式接近人体，乳糖为 0，吸收速度中等。很多人乳糖不耐喝不了乳清，蛋清粉是很好替代，脂肪极低。
二、天然食物蛋白（日常正餐首选，附带微量营养素）
动物蛋白（完全蛋白，氨基酸齐全，增肌首选）
鸡蛋
蛋白黄金参考标准。全蛋有脂肪、卵磷脂；蛋清几乎纯蛋白，低脂。性价比极高。1 个全蛋≈6g 蛋白。
鸡胸肉
低脂高蛋白，最经典健身肉类，100g 熟鸡胸≈25~30g 蛋白质。
瘦牛肉（牛里脊 / 牛腱子）
富含血红素铁、锌、肌酸，对力量训练很友好；脂肪高于鸡胸。100g 熟瘦牛肉≈26g 蛋白。
鱼虾类
鳕鱼、龙利鱼、三文鱼、虾。低脂，三文鱼还附带 Omega3；100g 熟鱼虾≈20~25g 蛋白。
低脂希腊酸奶 / 茅屋奶酪（低脂奶酪）
乳源蛋白，比普通酸奶蛋白高，含酪蛋白 + 少量乳清。茅屋奶酪缓释蛋白强，适合加餐。乳糖不耐要慎选。
火鸡肉（瘦火鸡）
低脂高蛋白，类似鸡胸，100g 熟肉≈28g 蛋白。
植物蛋白（适合素食 / 搭配，单独吃建议多种组合补足氨基酸）
豆腐、老豆腐、豆干
大豆制品，优质植物完全蛋白，老豆腐蛋白更高。
鹰嘴豆、扁豆等杂豆
蛋白含量不错，但赖氨酸充足、蛋氨酸偏低，搭配谷物一起吃氨基酸更完整。
藜麦
为数不多的谷物类完全蛋白，可以替代米饭，搭配豆类。
花生酱（无糖）
蛋白 + 健康脂肪，热量高，控制量。
简单选择思路
✅ 乳糖不耐：蛋清粉、豌豆蛋白、肉类、鱼虾、豆腐
✅ 睡前防肌肉流失：酪蛋白、茅屋奶酪
✅ 素食健身：豌豆 + 大米复合蛋白粉、豆腐、藜麦 + 杂豆搭配
✅ 正餐优先：鸡蛋、鸡胸、瘦牛肉、鱼虾（食物优先，蛋白粉只作为缺口补充）
小贴士：天然食物除蛋白外，还带铁、锌、维生素，长期健身不要完全依赖蛋白粉，蛋白粉只是方便的补充手段。
要不要我给你做一份一日健身高蛋白食谱示例？</x:v>
      </x:c>
      <x:c r="I37" s="5" t="str">
        <x:v>否</x:v>
      </x:c>
      <x:c r="J37" s="5" t="str"/>
      <x:c r="K37" s="5" t="str"/>
      <x:c r="L37" s="5" t="str"/>
      <x:c r="M37" s="5" t="str"/>
      <x:c r="N37" s="5" t="str">
        <x:v>类型建议或无品牌</x:v>
      </x:c>
      <x:c r="O37" s="5" t="str"/>
      <x:c r="P37" s="5" t="str"/>
      <x:c r="Q37" s="5" t="str"/>
      <x:c r="R37" s="5" t="str"/>
      <x:c r="S37" s="5" t="str"/>
      <x:c r="T37" s="5" t="str"/>
      <x:c r="U37" s="5" t="str">
        <x:v>否</x:v>
      </x:c>
      <x:c r="V37" s="5" t="str"/>
      <x:c r="W37" s="5" t="str">
        <x:v>https://www.doubao.com/chat/38444783887889666</x:v>
      </x:c>
      <x:c r="X37" s="5" t="n">
        <x:v>0</x:v>
      </x:c>
      <x:c r="Y37" s="5" t="str">
        <x:v>否</x:v>
      </x:c>
    </x:row>
    <x:row r="38" ht="34" customHeight="1">
      <x:c r="A38" s="5" t="str">
        <x:v>Q17</x:v>
      </x:c>
      <x:c r="B38" s="5" t="str">
        <x:v>怡可纳是什么品牌？</x:v>
      </x:c>
      <x:c r="C38" s="5" t="str">
        <x:v>主动认知</x:v>
      </x:c>
      <x:c r="D38" s="5" t="str">
        <x:v>豆包</x:v>
      </x:c>
      <x:c r="E38" s="5" t="str">
        <x:v>主动</x:v>
      </x:c>
      <x:c r="F38" s="5" t="str">
        <x:v>2026/9/28 15:42:44</x:v>
      </x:c>
      <x:c r="G38" s="5" t="str">
        <x:v>有效</x:v>
      </x:c>
      <x:c r="H38" s="5" t="str">
        <x:v>怡可纳（YIKENA）
怡可纳是国货运动营养品牌，归属济南怡能食品科技有限公司，主打高性价比健身补剂，在酵母蛋白粉赛道知名度很高。
怡可纳logo
✅ 品牌核心特点
主打酵母蛋白粉（招牌产品）
采用安琪 AnPro 酵母蛋白，零乳糖，适合乳糖不耐、喝乳清容易胀气的人群，蛋白含量约 75%，价格远低于乳清蛋白粉，是它最出圈的单品。
注：属于普通固体饮料，不是保健食品。
产品线
酵母蛋白粉、乳清蛋白粉、增肌粉
益生菌电解质粉、β- 丙氨酸、甜菜根粉等运动冲剂
还有钙铁锌等普通膳食营养食品
渠道
主要在抖音、淘宝、京东线上旗舰店销售，健身博主带货较多，主打平价学生、健身新手。
生产模式
品牌方负责研发销售，产品多由代工厂（天津小薇生物等）代工生产。
简单总结
平价国产运动营养品牌，酵母蛋白品类的热门选手，最大亮点就是无乳糖、性价比高，适合乳糖不耐受想补充蛋白的健身人群。
如果你想，我可以帮你对比：怡可纳酵母蛋白 vs 普通乳清蛋白粉。</x:v>
      </x:c>
      <x:c r="I38" s="5" t="str">
        <x:v>不适用</x:v>
      </x:c>
      <x:c r="J38" s="5" t="str"/>
      <x:c r="K38" s="5" t="str"/>
      <x:c r="L38" s="5" t="str"/>
      <x:c r="M38" s="5" t="str">
        <x:v>怡可纳</x:v>
      </x:c>
      <x:c r="N38" s="5" t="str">
        <x:v>主动品牌认知</x:v>
      </x:c>
      <x:c r="O38" s="5" t="str">
        <x:v>怡可纳（YIKENA） 怡可纳是国货运动营养品牌，归属济南怡能食品科技有限公司，主打高性价比健身补剂，在酵母蛋白粉赛道知名度很高。 怡可纳logo ✅ 品牌核心特点 主打酵母蛋白粉（招牌产品） 采用安琪 AnPro 酵母蛋白，零乳糖，适合乳糖不耐、喝乳清容易胀气的人群，蛋白含量约 75%，价格远低于乳清蛋白粉，是它最出圈的单品。 注：属于普通固体饮料，不是保健食品。 产品线 酵母蛋白粉、乳清蛋白粉、增肌粉 益生菌电解质粉、β- 丙氨酸、甜菜根粉等运动冲剂</x:v>
      </x:c>
      <x:c r="P38" s="5" t="str">
        <x:v>正面</x:v>
      </x:c>
      <x:c r="Q38" s="5" t="str">
        <x:v>酵母蛋白、价格优势、乳糖不耐场景、运动/健身、专业/研发</x:v>
      </x:c>
      <x:c r="R38" s="5" t="str">
        <x:v>1.
怡可纳益生菌电解质粉冲剂饮料水运动健身维生素户外跑步骑行运动 3盒益生菌电解质(蜜桃口味)【图片 价格 品牌 报价】-京东
2.
怡可纳商标_申请/注册号88840885 - 企查查
3.
怡可纳酵母蛋白粉健身高蛋白质粉运动非乳清蛋白粉官方旗舰店正品-淘宝Taobao | 天猫Tmall
4.
怡可纳品牌介绍-怡可纳蛋白粉_乳清蛋白粉-买购APP
5.
老牌酵母蛋白粉了！想喝高品质怕踩雷的闭眼入这款就行！怡可纳真的是算酵母的行业头牌及先行者了！有需要的感谢支持！#酵母蛋白粉 #蛋白粉 #补剂 #健身补剂 #健身 @DOU+小助手 @粗人(补剂零食好物分享)
6.
怡可纳乳清蛋白粉 天津生产男女通用 2磅71%高蛋白质粉-Taobao-Tmall
7.
四十年铸就全球口碑，天然宠粮领导者冠军宠物食品携渴望、爱肯拿重磅亮相它博会_中国网 中国商务</x:v>
      </x:c>
      <x:c r="S38" s="5" t="str">
        <x:v>https://item.jd.com/product/Kqyxq0sa3t70SkF58yVsqw.html
https://m.qcc.com/brandDetail/08c909f8fc4860195b2c61ca164e82e3.html
https://www.taobao.com/list/item/OWVNY1lNbjRIM3Mra3VtajRwOFMvUT09.htm
https://m.maigoo.com/brand/1635897.html
https://www.iesdouyin.com/share/video/7685351789788400905
https://www.taobao.com/list/item/703571616945.htm
http://business.china.com.cn/2026-05/11/content_43423301.shtml</x:v>
      </x:c>
      <x:c r="T38" s="5" t="str">
        <x:v>item.jd.com
m.qcc.com
www.taobao.com
m.maigoo.com
www.iesdouyin.com
www.taobao.com
business.china.com.cn</x:v>
      </x:c>
      <x:c r="U38" s="5" t="str">
        <x:v>是</x:v>
      </x:c>
      <x:c r="V38" s="5" t="str"/>
      <x:c r="W38" s="5" t="str">
        <x:v>https://www.doubao.com/chat/38444711987719682</x:v>
      </x:c>
      <x:c r="X38" s="5" t="n">
        <x:v>7</x:v>
      </x:c>
      <x:c r="Y38" s="5" t="str">
        <x:v>否</x:v>
      </x:c>
    </x:row>
    <x:row r="39" ht="34" customHeight="1">
      <x:c r="A39" s="5" t="str">
        <x:v>Q18</x:v>
      </x:c>
      <x:c r="B39" s="5" t="str">
        <x:v>怡可纳蛋白粉怎么样？</x:v>
      </x:c>
      <x:c r="C39" s="5" t="str">
        <x:v>主动认知</x:v>
      </x:c>
      <x:c r="D39" s="5" t="str">
        <x:v>豆包</x:v>
      </x:c>
      <x:c r="E39" s="5" t="str">
        <x:v>主动</x:v>
      </x:c>
      <x:c r="F39" s="5" t="str">
        <x:v>2026/9/28 15:43:07</x:v>
      </x:c>
      <x:c r="G39" s="5" t="str">
        <x:v>有效</x:v>
      </x:c>
      <x:c r="H39" s="5" t="str">
        <x:v>怡可纳酵母蛋白粉
怡可纳是国内酵母蛋白品类先行者，属于全价蛋白（9 种必需氨基酸齐全），定位是乳清蛋白粉高性价比替代，最大亮点：0 乳糖、不含乳源，乳糖不耐受人群友好。
✅优点
适合乳糖不耐 / 素食：微生物发酵酵母蛋白，没有牛奶蛋白，喝乳清胀气拉肚子的人可以选；不含大豆，大豆敏感人群也能用。
性价比很高，5 磅一百多元，每克蛋白成本低于普通乳清，适合长期日常补蛋白、学生党、减脂人群。
蛋白含量：老款约 71g/100g，新版氨糖款 75.6g/100g，第三方实测达标，氨基酸组成接近乳清；只是亮氨酸略低于乳清，练后快速合成肌肉不如乳清，更适合全天持续补充蛋白。
配方可选：有普通款、添加氨糖款、水解酵母蛋白；多种口味：绿豆沙、花生可可、炭烧麦香、草莓、哈密瓜等，绿豆沙、炭烧麦香口碑最好，酵母味压得比较好。
脱核酸版本，降低嘌呤顾虑。
❌缺点
口感和溶解度硬伤：粉质飞粉，冲泡泡沫多，静置易分层，有轻微沙粒感、喇嗓子；自带天然酵母味，部分人会觉得怪，水果香精味偏重，口味两极分化（很多人第一次喝不习惯）。
吸收特点：吸收速度慢于乳清，不优先推荐练后马上喝；亮氨酸偏低，力量增肌人群如果只靠它，需要配合鸡蛋、肉类补足亮氨酸。
属于固体饮料，不是保健食品，不能替代药物。
🧑‍🤝‍🧑适合人群
✅乳糖不耐受，喝乳清容易腹胀腹泻
✅素食，想找非豆、非乳来源蛋白粉
✅预算有限，日常长期补充蛋白质（减脂、日常蛋白缺口）
✅不想摄入乳蛋白的人群
❌不太适合
❌追求练后快速吸收、力量增肌为主，首选还是乳清
❌完全接受不了沙感、酵母风味，对口感要求很高
💡选购小建议
新手优先买小样试喝，不要直接开大桶；推荐绿豆沙 / 炭烧麦香；冲泡不要大力摇晃，轻摇、温水，静置一会消泡再喝。</x:v>
      </x:c>
      <x:c r="I39" s="5" t="str">
        <x:v>不适用</x:v>
      </x:c>
      <x:c r="J39" s="5" t="str"/>
      <x:c r="K39" s="5" t="str"/>
      <x:c r="L39" s="5" t="str"/>
      <x:c r="M39" s="5" t="str">
        <x:v>怡可纳</x:v>
      </x:c>
      <x:c r="N39" s="5" t="str">
        <x:v>主动品牌认知</x:v>
      </x:c>
      <x:c r="O39" s="5" t="str">
        <x:v>怡可纳酵母蛋白粉 怡可纳是国内酵母蛋白品类先行者，属于全价蛋白（9 种必需氨基酸齐全），定位是乳清蛋白粉高性价比替代，最大亮点：0 乳糖、不含乳源，乳糖不耐受人群友好。 ✅优点 适合乳糖不耐 / 素食：微生物发酵酵母蛋白，没有牛奶蛋白，喝乳清胀气拉肚子的人可以选；不含大豆，大豆敏感人群也能用。 性价比很高，5 磅一百多元，每克蛋白成本低于普通乳清，适合长期日常补蛋白、学生党、减脂人群。 蛋白含量：老款约 71g/100g，新版氨糖款 75.6g/100g，</x:v>
      </x:c>
      <x:c r="P39" s="5" t="str">
        <x:v>混合</x:v>
      </x:c>
      <x:c r="Q39" s="5" t="str">
        <x:v>酵母蛋白、价格优势、乳糖不耐场景、口感/冲泡体验</x:v>
      </x:c>
      <x:c r="R39" s="5" t="str">
        <x:v>1.
锐评酵母蛋白粉（1） R2:酵母蛋白粉出来时间久了，可以说是百花齐放，每家都对于酵母蛋白有一些自己的理解，但是大家都是摸着怡可纳过河，然后竟然有很多做的比怡可纳还有特色。但是，酵母蛋白，还是要从试用装
2.
从夯到拉无广锐评怡可纳酵母蛋白粉全口味 #蛋白粉测评 #健身 #酵母蛋白粉 #减肥 #塑形
3.
乳清酵母酪蛋白差距大吗？ A76:乳清、酵母、酪蛋白的差距到底大不大？咱们看看专业数据如何。#蛋白粉 #蛋白粉推荐 #蛋白粉测评 #酵母蛋白 #怡可纳
4.
159到手4磅新型蛋白粉尝鲜！ 怡可纳出品，品质可以相信！
5.
蛋白粉配料表给我看笑了。对比老三家酵母蛋白粉，概特和米当卡都不错，但是看到这个第三个怡可纳的，难评，之前一直以为大牌子就有保障结果，诶，有的配料表连相关成分都没有还敢写［XX味］［xx口味］，真是把消
6.
我一共喝过两款，先喝的怡可纳，现在买的米当卡，怡可纳蛋白质含量低一点，价格也贵一点，米当卡蛋白质含量高一些，价格也便宜一些，但是米当卡喝完嗓子会不舒服好几个小时，喝完一小会就开始不舒服#蛋白粉推荐 #
7.
蛋白粉怎么选？妥妥兄弟们快乐粉啊！一定要把握好#怡可纳酵母蛋白粉 #健身补剂
8.
怡可纳酵母蛋白粉2.27kg运动健身71%蛋白质粉-淘宝网
9.
189五磅的蛋白粉 #健身补剂 #蛋白粉 #怡可纳
10.
老牌酵母蛋白粉了！想喝高品质怕踩雷的闭眼入这款就行！怡可纳真的是算酵母的行业头牌及先行者了！有需要的感谢支持！#酵母蛋白粉 #蛋白粉 #补剂 #健身补剂 #健身 @DOU+小助手 @粗人(补剂零食好物分享)
11.
真的不要因为便宜，就看不起它。补充蛋白质来说它真的没问题！关键你看这价格多香！5磅才多少钱啊！有需要的！感谢各位上帝支持！！#酵母蛋白粉 #蛋白质 #健身补剂 #好物分享#蛋白粉推荐 @粗人(补剂零食好物分享) @DOU+小助手
12.
怡可纳澄清clear酵母蛋白粉测评 #补剂测评 #蛋白粉 #酵母蛋白粉 总的来说不错，期待价格如何
13.
酵母蛋白粉我再给你最后一次机会 #酵母蛋白 #怡可纳 #蛋白粉 #补剂 #健身</x:v>
      </x:c>
      <x:c r="S39" s="5" t="str">
        <x:v>https://www.iesdouyin.com/share/video/7687082340167165093
https://www.iesdouyin.com/share/video/7687244141877289818
https://www.iesdouyin.com/share/video/7688557562987409329
https://www.iesdouyin.com/share/video/7434481134731267386
https://www.iesdouyin.com/share/video/7632164421302103674
https://www.iesdouyin.com/share/video/7659361704563785829
https://www.iesdouyin.com/share/video/7669756460344124601
https://pcdetail.taobao.com/Q0E0YUUxVVV5UnRTMUV4RHlNOTNKUT09.html
https://www.iesdouyin.com/share/video/7639184717480217897
https://www.iesdouyin.com/share/video/7685351789788400905
https://www.iesdouyin.com/share/video/7662735838175326309
https://www.iesdouyin.com/share/video/7686485303918461674
https://www.iesdouyin.com/share/video/7681161146988748779</x:v>
      </x:c>
      <x:c r="T39" s="5" t="str">
        <x:v>www.iesdouyin.com
www.iesdouyin.com
www.iesdouyin.com
www.iesdouyin.com
www.iesdouyin.com
www.iesdouyin.com
www.iesdouyin.com
pcdetail.taobao.com
www.iesdouyin.com
www.iesdouyin.com
www.iesdouyin.com
www.iesdouyin.com
www.iesdouyin.com</x:v>
      </x:c>
      <x:c r="U39" s="5" t="str">
        <x:v>是</x:v>
      </x:c>
      <x:c r="V39" s="5" t="str"/>
      <x:c r="W39" s="5" t="str">
        <x:v>https://www.doubao.com/chat/38444711881420546</x:v>
      </x:c>
      <x:c r="X39" s="5" t="n">
        <x:v>13</x:v>
      </x:c>
      <x:c r="Y39" s="5" t="str">
        <x:v>否</x:v>
      </x:c>
    </x:row>
    <x:row r="40" ht="34" customHeight="1">
      <x:c r="A40" s="5" t="str">
        <x:v>Q19</x:v>
      </x:c>
      <x:c r="B40" s="5" t="str">
        <x:v>怡可纳酵母蛋白值得买吗？</x:v>
      </x:c>
      <x:c r="C40" s="5" t="str">
        <x:v>主动认知</x:v>
      </x:c>
      <x:c r="D40" s="5" t="str">
        <x:v>豆包</x:v>
      </x:c>
      <x:c r="E40" s="5" t="str">
        <x:v>主动</x:v>
      </x:c>
      <x:c r="F40" s="5" t="str">
        <x:v>2026/9/28 15:43:27</x:v>
      </x:c>
      <x:c r="G40" s="5" t="str">
        <x:v>有效</x:v>
      </x:c>
      <x:c r="H40" s="5" t="str">
        <x:v>一句话结论
适合：乳糖不耐、牛奶蛋白过敏、素食、预算有限、单纯补蛋白的人；不适合：追求顺滑口感、优先乳清增肌、接受不了沙感泡沫的人。
怡可纳是国内酵母蛋白里做的比较早的品牌，原料用安琪酵母蛋白，属于优质完全蛋白（9 种必需氨基酸齐全）
✅ 优点
无乳糖、不含乳：喝乳清容易胀气拉肚子，牛奶过敏的人可以选；素食友好
性价比高：价格远低于乳清，每克蛋白成本很低，学生党长期喝压力小，蛋白含量约 71%~75%，一勺约 23g 蛋白质
自带 B 族维生素 +β 葡聚糖，低嘌呤，比很多乳清、大豆蛋白对尿酸人群更友好
氨基酸完整，PDCAAS=1，属于优质蛋白，只是亮氨酸略低于乳清（增肌人群可以搭配蛋清 / 肉类补足全天亮氨酸）
❌ 缺点（酵母蛋白的通病）
口感一般：溶解度差、泡沫巨多，静置几分钟泡沫才会消；入口有沙粒感、轻微酵母味，部分口味会糊嗓子。绿豆沙口味口碑最好，新手优先试这个口味
吸收慢于乳清，属于慢吸收蛋白，更适合日常持续补蛋白，不适合训练后快速补蛋白（训练后首选乳清）
粉质飞粉，摇杯容易呛；水果味容易掩盖不住酵母味，踩雷概率更高
🧾 谁值得买
✅ 乳糖不耐 / 牛奶蛋白过敏，乳清一喝就腹泻胀气
✅ 素食者，需要低成本优质蛋白
✅ 预算有限，日常饮食蛋白缺口大（减脂、学生、老人补充）
✅ 尿酸偏高，想选低嘌呤蛋白粉
🧾 谁不建议买
❌ 健身力量训练后，追求快速补蛋白增肌（优先乳清）
❌ 很在意口感，完全接受沙感、泡沫、酵母味
❌ 第一次喝蛋白粉，想要奶茶顺滑口感
购买小建议
先买小样试喝，不要直接冲 5 磅大桶；优先绿豆沙口味。
如果你是力量增肌党，可以酵母蛋白作为日常基础补充，训练日搭配乳清，不用完全替代乳清。</x:v>
      </x:c>
      <x:c r="I40" s="5" t="str">
        <x:v>不适用</x:v>
      </x:c>
      <x:c r="J40" s="5" t="str"/>
      <x:c r="K40" s="5" t="str"/>
      <x:c r="L40" s="5" t="str"/>
      <x:c r="M40" s="5" t="str">
        <x:v>怡可纳</x:v>
      </x:c>
      <x:c r="N40" s="5" t="str">
        <x:v>主动品牌认知</x:v>
      </x:c>
      <x:c r="O40" s="5" t="str">
        <x:v>白过敏、素食、预算有限、单纯补蛋白的人；不适合：追求顺滑口感、优先乳清增肌、接受不了沙感泡沫的人。 怡可纳是国内酵母蛋白里做的比较早的品牌，原料用安琪酵母蛋白，属于优质完全蛋白（9 种必需氨基酸齐全） ✅ 优点 无乳糖、不含乳：喝乳清容易胀气拉肚子，牛奶过敏的人可以选；素食友好 性价比高：价格远低于乳清，每克蛋白成本很低，学生党长期喝压力小，蛋白含量约 71%~75%，一勺约 23g 蛋白质 自带 B 族维生素 +β 葡聚糖，低嘌呤，比很多乳清、大豆蛋白对尿酸人群更友好 氨基酸完整，PDCAAS=1，属于优质蛋白，只是亮氨酸略低于乳清（增肌人群可以搭配蛋</x:v>
      </x:c>
      <x:c r="P40" s="5" t="str">
        <x:v>混合</x:v>
      </x:c>
      <x:c r="Q40" s="5" t="str">
        <x:v>酵母蛋白、价格优势、乳糖不耐场景、口感/冲泡体验、运动/健身</x:v>
      </x:c>
      <x:c r="R40" s="5" t="str">
        <x:v>1.
乳清酵母酪蛋白差距大吗？ A76:乳清、酵母、酪蛋白的差距到底大不大？咱们看看专业数据如何。#蛋白粉 #蛋白粉推荐 #蛋白粉测评 #酵母蛋白 #怡可纳
2.
怡可纳酵母蛋白与拆解 A45:一个蛋白饮好不好？其实我们可以通过把它拆开来看到它的一部分情况。这一款口味很不错，每份也拥有25g的蛋白质，出门携带确实方便。#蛋白粉推荐 #健身补剂 #酵母蛋白 #酵母
3.
恭请太上长老-怡可纳初代酵母蛋白粉测评 A16:现在还在叫唤，酵母难喝的小伙伴，看看我们过去受的什么苦。沙口感严重，泡沫极为丰富。不过真的特别佩服给酵母蛋白调味的设计师，我懂你，你是个天才！#蛋白粉
4.
老牌 酵母 蛋白粉 了 ！ 想 喝 高 品质 怕 踩 雷 的 闭眼 入 这款 就 行 ！ 怡 可 纳 真的 是 算 酵母 的 行业 头牌 及 先行者 了 ！ 有 需要 的 感谢 支持 ！ # 酵母 蛋白粉 # 蛋白粉 # 补剂 # 健身 补剂 # 健身 @ DOU + 小 助手 @ 粗人 ( 补剂 零食 好物 分享 )
5.
锐评酵母蛋白粉（1） R2:酵母蛋白粉出来时间久了，可以说是百花齐放，每家都对于酵母蛋白有一些自己的理解，但是大家都是摸着怡可纳过河，然后竟然有很多做的比怡可纳还有特色。但是，酵母蛋白，还是要从试用装
6.
新出的水解酵母蛋白，口味没达到预期，但营养成分表实打实提升了 希望多用一些新工艺，多做一些新产品，良性竞争才能让市场越来越好！#水解酵母蛋白
7.
为 保持 客观 就 不 打分 排名 了 ， 以上 纯属 十 年 补剂 从业者 的 客观 测评 ， 后面 有 新 酵母 蛋白 进 市场 ， 会 随时 更新 ！ # 酵母 蛋白 # 酵母 蛋白 大 测评 # All keep 酵母 蛋白 # 怡 可 纳 酵母 蛋白 # 赛 霸 酵母 蛋白
8.
89 两 磅 的 酵母 蛋白粉 性 价 比 高 适合 学生 党 前期 过渡 # 蛋白粉 # 补剂 # 健身 # 自律
9.
怡 可 纳 酵母 蛋白粉 ， 159 元 4 磅 ！ 蛋白质 质量 优 ， 不用 考虑 乳糖 不 耐受 ， 同样 都是 补充 ！ 沫子 较 多 ， 轻摇 就 行 ！ # 好物 推荐 # 蛋白粉 # 增 肌 # 健身 干货 # 补剂 @ DOU + 小 助手
10.
这条 不是 广子 ， 自用 推荐 # 怡 可 纳 酵母 蛋白粉
11.
觉得 乳清 贵 的 上帝 们 ！ 试试 怡 可 纳 这款 酵母 蛋白粉 ， 价格 香 ！ 氨基酸 种类 齐全 ！ 口感 问题 有 了 绿豆 冰沙 味 也 不 输 了 ！ 真的 不错 ！ # 酵母 蛋白粉 # 蛋白粉 # 补剂 # 健身 补剂 # 健身 @ DOU + 小 助手 @ 粗人 ( 补剂 零食 好物 分享 )
12.
最近 网上 热议 的 酵母 蛋白 ， 是 什么 来头 ？ 酵母 蛋白 为何 能 异军突起 ？ # 建议 普及 酵母 蛋白 # 精准 营养 # 营养师 推荐 # 健康 生活 # 酵母 蛋白 优质 蛋白 新 选择
13.
国家 认证 的 新 蛋白 : 酵母 蛋白
14.
酵母 蛋白 : 低 嘌呤 优质 蛋白 的 理性 选择 _ 99 健康 网
15.
重新 定义 优质 蛋白 - an pro 酵母 蛋白
16.
安琪 纽特
17.
安琪 酵母 蛋白 食品级 现货 现 发 - 上海 觉 图 生物 科技 有限 公司</x:v>
      </x:c>
      <x:c r="S40" s="5" t="str">
        <x:v>https://www.iesdouyin.com/share/video/7688557562987409329
https://www.iesdouyin.com/share/video/7676087304641397937
https://www.iesdouyin.com/share/video/7667137883443084017
https://www.iesdouyin.com/share/video/7685351789788400905
https://www.iesdouyin.com/share/video/7687082340167165093
https://www.iesdouyin.com/share/video/7679068090223831269
https://www.iesdouyin.com/share/video/7537340102725455164
https://www.iesdouyin.com/share/video/7519892230607441209
https://www.iesdouyin.com/share/video/7447760968010026278
https://www.iesdouyin.com/share/video/7630373704543740145
https://www.iesdouyin.com/share/video/7633355908151528744
https://www.iesdouyin.com/share/video/7530855514188549428
https://m.thepaper.cn/newsDetail_forward_31387654
https://m.99.com.cn/a/1729394/
https://www.angelyeast.com/Yeastprotein.html
https://www.angelnutritech.com/zh/news/476.html
https://www.juetushengwu.com/products/show22478041.html</x:v>
      </x:c>
      <x:c r="T40" s="5" t="str">
        <x:v>www.iesdouyin.com
www.iesdouyin.com
www.iesdouyin.com
www.iesdouyin.com
www.iesdouyin.com
www.iesdouyin.com
www.iesdouyin.com
www.iesdouyin.com
www.iesdouyin.com
www.iesdouyin.com
www.iesdouyin.com
www.iesdouyin.com
m.thepaper.cn
m.99.com.cn
www.angelyeast.com
www.angelnutritech.com
www.juetushengwu.com</x:v>
      </x:c>
      <x:c r="U40" s="5" t="str">
        <x:v>是</x:v>
      </x:c>
      <x:c r="V40" s="5" t="str"/>
      <x:c r="W40" s="5" t="str">
        <x:v>https://www.doubao.com/chat/38444445007361282</x:v>
      </x:c>
      <x:c r="X40" s="5" t="n">
        <x:v>17</x:v>
      </x:c>
      <x:c r="Y40" s="5" t="str">
        <x:v>否</x:v>
      </x:c>
    </x:row>
    <x:row r="41" ht="34" customHeight="1">
      <x:c r="A41" s="5" t="str">
        <x:v>Q20</x:v>
      </x:c>
      <x:c r="B41" s="5" t="str">
        <x:v>怡可纳和其他蛋白粉品牌相比有什么特点？</x:v>
      </x:c>
      <x:c r="C41" s="5" t="str">
        <x:v>主动认知</x:v>
      </x:c>
      <x:c r="D41" s="5" t="str">
        <x:v>豆包</x:v>
      </x:c>
      <x:c r="E41" s="5" t="str">
        <x:v>主动</x:v>
      </x:c>
      <x:c r="F41" s="5" t="str">
        <x:v>2026/9/28 15:44:02</x:v>
      </x:c>
      <x:c r="G41" s="5" t="str">
        <x:v>有效</x:v>
      </x:c>
      <x:c r="H41" s="5" t="str">
        <x:v>怡可纳对比普通乳清、豌豆蛋白品牌，核心特点
怡可纳最大标签：国内酵母蛋白品类先行者，同时也有常规乳清产品线；和常见乳清（康比特、诺特兰德、ON）、豌豆蛋白相比，差异集中在原料、肠胃友好度、价格上。
✅ 核心优势（和其他品牌对比）
原料是酵母蛋白（主力款），0 乳糖、不含大豆
普通乳清是牛奶提取，乳糖不耐人群喝容易胀气拉肚子；豌豆蛋白属于植物蛋白，很多人有豆腥味。
怡可纳酵母蛋白来自安琪酵母发酵，无乳、无大豆，乳糖不耐、大豆敏感人群友好；9 种必需氨基酸齐全，属于完整蛋白，适合素食者。
短板：亮氨酸略低于乳清，纯靠酵母蛋白，增肌时亮氨酸储备不如乳清，训练人群可以搭配鸡蛋 / 乳清补充。
性价比极高
5 磅酵母蛋白价格远低于同重量进口乳清，甚至比很多国产乳清、豌豆蛋白便宜，适合学生党、长期日常补蛋白，降低长期喝的成本。
口味思路独特，网红风味多
绿豆沙、花生可可、老冰棍、港式乌龙等，不是传统巧克力香草。其中绿豆冰沙是它的爆款，酵母味压得不错，区别于很多蛋白粉单调口味；会添加后生元、部分版本加氨糖等额外营养，属于附加配方。
国产本土品牌，公开检测
主打的酵母蛋白会放第三方氨基酸、蛋白含量检测，标注偏保守，实测蛋白经常高于桶身标注；国内生产，发货、售后方便，小样试喝机制比较完善，踩雷成本低。
⚠️ 和乳清 / 豌豆蛋白对比的明显短板
溶解度、口感弱于乳清
乳清冲泡顺滑；怡可纳酵母蛋白容易起泡沫、有轻微沙感、糊嗓子、飞粉，虽然新版 2.0 原料改善很多，但依旧不如乳清顺滑，部分水果味酵母味会比较明显。
吸收速度慢于乳清
乳清是快吸收蛋白，练后快速补给首选；酵母蛋白属于中速吸收，更适合日常全天补蛋白，练后快速恢复不如乳清。
增肌场景上限不如高含量乳清
亮氨酸偏低，单纯酵母蛋白，大力量训练人群，单靠它很难满足肌肉合成需求，更适合减脂、日常蛋白质补充，不适合作为主力练后补剂。
📌一句话适用人群区分
选怡可纳酵母蛋白：乳糖不耐、大豆过敏、素食、预算有限，主要日常补蛋白（减脂 / 维持）
选传统乳清：力量健身、追求练后快速吸收、不介意乳糖，目标增肌
豌豆蛋白：纯素食，但豆腥味重，氨基酸评分不如酵母蛋白
补充：怡可纳也有乳清系列
他家乳清就是常规国产乳清，特点和国内普通乳清品牌差别不大，优势主要还是酵母蛋白这条产品线。
要不要我帮你整理一个简短对比表格：怡可纳酵母蛋白 VS 乳清蛋白 VS 豌豆蛋白，方便快速看差异？</x:v>
      </x:c>
      <x:c r="I41" s="5" t="str">
        <x:v>不适用</x:v>
      </x:c>
      <x:c r="J41" s="5" t="str"/>
      <x:c r="K41" s="5" t="str"/>
      <x:c r="L41" s="5" t="str"/>
      <x:c r="M41" s="5" t="str">
        <x:v>怡可纳、康比特、诺特兰德、ON/欧普特蒙</x:v>
      </x:c>
      <x:c r="N41" s="5" t="str">
        <x:v>主动品牌认知</x:v>
      </x:c>
      <x:c r="O41" s="5" t="str">
        <x:v>怡可纳对比普通乳清、豌豆蛋白品牌，核心特点 怡可纳最大标签：国内酵母蛋白品类先行者，同时也有常规乳清产品线；和常见乳清（康比特、诺特兰德、ON）、豌豆蛋白相比，差异集中在原料、肠胃友好度、价格上。 ✅ 核心优势（和其他品牌对比） 原料是酵母蛋白（主力款），0 乳糖、不含大豆 普通乳清是牛奶提取，乳糖不耐人群喝容易胀气拉肚子；豌豆蛋白属于植物蛋白，很多人有豆腥味。 怡可纳酵母蛋白来自安琪酵母发酵，无乳、无大豆，乳糖不耐、大豆敏感人群友好；9 种必需氨基酸齐全</x:v>
      </x:c>
      <x:c r="P41" s="5" t="str">
        <x:v>混合</x:v>
      </x:c>
      <x:c r="Q41" s="5" t="str">
        <x:v>酵母蛋白、价格优势、乳糖不耐场景、口感/冲泡体验、运动/健身</x:v>
      </x:c>
      <x:c r="R41" s="5" t="str">
        <x:v>1.
锐评酵母蛋白粉（1） R2:酵母蛋白粉出来时间久了，可以说是百花齐放，每家都对于酵母蛋白有一些自己的理解，但是大家都是摸着怡可纳过河，然后竟然有很多做的比怡可纳还有特色。但是，酵母蛋白，还是要从试用装
2.
我一共喝过两款，先喝的怡可纳，现在买的米当卡，怡可纳蛋白质含量低一点，价格也贵一点，米当卡蛋白质含量高一些，价格也便宜一些，但是米当卡喝完嗓子会不舒服好几个小时，喝完一小会就开始不舒服#蛋白粉推荐 #
3.
真的 不要 因为 便宜 ， 就 看 不起 它 。 补充 蛋白质 来 说 它 真的 没 问题 ！ 关键 你 看 这 价格 多 香 ！ 5 磅 才 多少 钱 啊 ！ 有 需要 的 ！ 感谢 各位 上帝 支持 ！ ！ # 酵母 蛋白粉 # 蛋白质 # 健身 补剂 # 好物 分享 # 蛋白粉 推荐 @ 粗人 ( 补剂 零食 好物 分享 ) @ DOU + 小 助手
4.
蛋白粉 怎么 选 ？ 妥妥 兄弟 们 快乐 粉 啊 ！ 一定 要 把握 好 # 怡 可 纳 酵母 蛋白粉 # 健身 补剂
5.
蛋白粉配料表给我看笑了。对比老三家酵母蛋白粉，概特和米当卡都不错，但是看到这个第三个怡可纳的，难评，之前一直以为大牌子就有保障结果，诶，有的配料表连相关成分都没有还敢写［XX味］［xx口味］，真是把消
6.
老牌 酵母 蛋白粉 了 ！ 想 喝 高 品质 怕 踩 雷 的 闭眼 入 这款 就 行 ！ 怡 可 纳 真的 是 算 酵母 的 行业 头牌 及 先行者 了 ！ 有 需要 的 感谢 支持 ！ # 酵母 蛋白粉 # 蛋白粉 # 补剂 # 健身 补剂 # 健身 @ DOU + 小 助手 @ 粗人 ( 补剂 零食 好物 分享 )
7.
健身 也 可以 吃 甜甜 的 🤗 🙋 ‍ ♀ ️ 健身 人 刚需 补给 ✨ 三分 练 七分 吃 ， 补 对 蛋白 才 不 白费 训练 ！ 怡 可 纳 酵母 蛋白粉 太 适合 运动 党 了 ✅ 0 乳糖 ｜ 乳糖 不 耐 也 能 喝 ， 温和 不 胀气 ✅ 氨基酸 齐全 ｜ 练 后 修复 超 适配 ✅ 口感 清爽 ｜ 多 口味 可选 ， 好喝 不 腻 ✅ 冲泡 方便 ｜ 随手 一杯 ， 轻松 补 够
8.
怡可纳 酵母 蛋白粉 健身 高 蛋白质 粉 运动 非 乳清 蛋白粉 官方 旗舰 店 正品 - 淘宝 taobao | 天猫 tmall
9.
怡 可 纳 酵母 蛋白粉 ， 在 100 多 5 磅 的 价格 下 ， 9 种 必需 氨基酸 以及 溶解度 、 消化率 和 乳清 蛋白 不相上下 。 # 健身 # 蛋白粉 推荐
10.
怡可纳 乳清 蛋白粉 天津 生产 男女 通用 2 磅 71 % 高 蛋白质 粉 - taobao - tmall
11.
# 运动 营养 补充 剂 # 怡 可 纳 # 酵母 蛋白粉 # 怡 可 纳 蛋白粉 # 健身 日常 分享</x:v>
      </x:c>
      <x:c r="S41" s="5" t="str">
        <x:v>https://www.iesdouyin.com/share/video/7687082340167165093
https://www.iesdouyin.com/share/video/7659361704563785829
https://www.iesdouyin.com/share/video/7662735838175326309
https://www.iesdouyin.com/share/video/7669756460344124601
https://www.iesdouyin.com/share/video/7632164421302103674
https://www.iesdouyin.com/share/video/7685351789788400905
https://www.iesdouyin.com/share/video/7679006522156583642
https://www.taobao.com/list/item/855844450040.htm
https://www.iesdouyin.com/share/video/7678602677362061797
https://www.taobao.com/list/item/703571616945.htm
https://www.iesdouyin.com/share/video/7672303223144015845</x:v>
      </x:c>
      <x:c r="T41" s="5" t="str">
        <x:v>www.iesdouyin.com
www.iesdouyin.com
www.iesdouyin.com
www.iesdouyin.com
www.iesdouyin.com
www.iesdouyin.com
www.iesdouyin.com
www.taobao.com
www.iesdouyin.com
www.taobao.com
www.iesdouyin.com</x:v>
      </x:c>
      <x:c r="U41" s="5" t="str">
        <x:v>是</x:v>
      </x:c>
      <x:c r="V41" s="5" t="str"/>
      <x:c r="W41" s="5" t="str">
        <x:v>https://www.doubao.com/chat/38444783690114818</x:v>
      </x:c>
      <x:c r="X41" s="5" t="n">
        <x:v>11</x:v>
      </x:c>
      <x:c r="Y41" s="5" t="str">
        <x:v>否</x:v>
      </x:c>
    </x:row>
    <x:row r="42" ht="34" customHeight="1">
      <x:c r="A42" s="5" t="str">
        <x:v>Q1</x:v>
      </x:c>
      <x:c r="B42" s="5" t="str">
        <x:v>酵母蛋白是什么？</x:v>
      </x:c>
      <x:c r="C42" s="5" t="str">
        <x:v>品类认知</x:v>
      </x:c>
      <x:c r="D42" s="5" t="str">
        <x:v>元宝</x:v>
      </x:c>
      <x:c r="E42" s="5" t="str">
        <x:v>自然</x:v>
      </x:c>
      <x:c r="F42" s="5" t="str">
        <x:v>2026/9/28 15:18:12</x:v>
      </x:c>
      <x:c r="G42" s="5" t="str">
        <x:v>有效</x:v>
      </x:c>
      <x:c r="H42" s="5" t="str">
        <x:v>酵母蛋白是从酿酒酵母中通过发酵、破壁、脱核酸、酶解、提取、纯化、灭菌和干燥等工艺得到的蛋白质原料，属于微生物蛋白，并不是直接把蒸馒头、酿啤酒的酵母磨成粉。
主要特点
•
蛋白质含量高：我国相关新食品原料要求蛋白质含量不低于 70克/100克。
•
属于完全蛋白：通常含有人体所需的全部必需氨基酸。
•
用途较广：可用于蛋白粉、蛋白棒、代餐、植物基食品及部分高蛋白食品中。
•
与干酵母不同：普通酵母主要用于发酵或调味，而酵母蛋白经过纯化，重点是补充蛋白质；不过，婴幼儿、孕妇及哺乳期妇女按照公告规定属于不适宜人群。
简单说，它和乳清蛋白、大豆蛋白类似，都是补充蛋白质的配料，只是蛋白来源是微生物。购买时不要把它和“酵母抽提物”“营养酵母”完全混为一谈，后两者更偏调味或复合营养食品。</x:v>
      </x:c>
      <x:c r="I42" s="5" t="str">
        <x:v>否</x:v>
      </x:c>
      <x:c r="J42" s="5" t="str"/>
      <x:c r="K42" s="5" t="str"/>
      <x:c r="L42" s="5" t="str"/>
      <x:c r="M42" s="5" t="str"/>
      <x:c r="N42" s="5" t="str">
        <x:v>类型建议或无品牌</x:v>
      </x:c>
      <x:c r="O42" s="5" t="str"/>
      <x:c r="P42" s="5" t="str"/>
      <x:c r="Q42" s="5" t="str"/>
      <x:c r="R42" s="5" t="str">
        <x:v>被加进蛋白棒､代餐奶昔的酵母蛋白,到底是什么?
酵母蛋白:打破嘌呤迷思,开启健康蛋白新纪元
酵母蛋白领航新食代,解锁营养与健康的双重奥秘
解读《关于巴拉圭冬青叶(马黛茶叶)等9种“三新食品”的公告》(2023年第10号)
揭秘酵母蛋白:神奇的营养宝库,引领营养新潮流!
首部酵母蛋白白皮书发布,国家战略级爆款原料真的来了!
酵母蛋白(萃取)
酵母蛋白是什么东西
安琪AnPro
酵母蛋白
酵母的热量
向微生物要蛋白,安琪酵母蛋白入列新食品原料目录
酵母蛋白:被误解的低嘌呤优质蛋白,科学认知亟待普及
GB/T 29602-2026新标准发布!酵母蛋白固体饮料入列国标专属品类
科普:酵母抽提物是什么(最新10问)
一文看懂:关于酵母蛋白,你最想知道的7个问题,答案都在这里</x:v>
      </x:c>
      <x:c r="S42" s="5" t="str">
        <x:v>http://mp.weixin.qq.com/s?__biz=MjM5ODA1OTM0Mg==&amp;mid=2650346904&amp;idx=1&amp;sn=153ca7695ea64df65d551b671bc8b665&amp;chksm=bfcaed9a4f0b84ae0cfa81673ae41bbee44a9f042cc813f55cf805878f6a98c438722faef46e#rd
https://www.kepuchina.cn/article/articleinfo?ar_id=656751&amp;business_type=100&amp;classify=0
https://cloud.kepuchina.cn/newSearch/imgText?id=7155007806657773568&amp;is_self=1
https://www.cdcfi.cn/webapp/accessory/ueditor/portal.cdcfi.cn/upload/file/2023-12-13/1702435638109076693.pdf
https://www.foodscn.cn/zixun/11344
https://shipin.sdnews.com.cn/spts/202604/t20260424_4669406.htm
https://wsjk.gansu.gov.cn/wsjk/c113471/202509/174200615/files/1ab97413d63d4877bf9590fc4ec2b625.pdf
https://health.baidu.com/m/detail/ar_6365301333201512548
https://baike.baidu.com/item/%E5%AE%89%E7%90%AAAnPro/65007547
http://xinshipin.sy.foodvip.net/home/index/xinshipincontent.html?itemid=1552
https://mingyi.sogou.com/afd/nutrition_only?params=%7B%22query%22%3A%20%22%E9%85%B5%E6%AF%8D%E7%9A%84%E7%83%AD%E9%87%8F%22%2C%20%22food%22%3A%20%22%E9%85%B5%E6%AF%8D%28%E5%B9%B2%29%22%2C%20%22nutrient%22%3A%20%22%E8%83%BD%E9%87%8F%22%2C%20%22forceQuery%22%3A%200%2C%20%22vrId%22%3A%2070239200%2C%20%22foodId%22%3A%20%222995%22%7D
http://gzw.yichang.gov.cn/content-40899-17085-1.html
https://cloud.kepuchina.cn/newSearch/imgText?id=7394027032366993408&amp;is_self=2
https://www.cfsn.cn/news/detail/2289/361243.html
https://www.kepuchina.cn/article/articleinfo?business_type=100&amp;classify=0&amp;ar_id=374808
https://shipin.sdnews.com.cn/spts/202607/t20260730_4715629.htm</x:v>
      </x:c>
      <x:c r="T42" s="5" t="str">
        <x:v>mp.weixin.qq.com
www.kepuchina.cn
cloud.kepuchina.cn
www.cdcfi.cn
www.foodscn.cn
shipin.sdnews.com.cn
wsjk.gansu.gov.cn
health.baidu.com
baike.baidu.com
xinshipin.sy.foodvip.net
mingyi.sogou.com
gzw.yichang.gov.cn
cloud.kepuchina.cn
www.cfsn.cn
www.kepuchina.cn
shipin.sdnews.com.cn</x:v>
      </x:c>
      <x:c r="U42" s="5" t="str">
        <x:v>是</x:v>
      </x:c>
      <x:c r="V42" s="5" t="str"/>
      <x:c r="W42" s="5" t="str">
        <x:v>https://yuanbao.tencent.com/chat/naQivTmsDa/0QnthmEM5Z2</x:v>
      </x:c>
      <x:c r="X42" s="5" t="n">
        <x:v>16</x:v>
      </x:c>
      <x:c r="Y42" s="5" t="str">
        <x:v>否</x:v>
      </x:c>
    </x:row>
    <x:row r="43" ht="34" customHeight="1">
      <x:c r="A43" s="5" t="str">
        <x:v>Q2</x:v>
      </x:c>
      <x:c r="B43" s="5" t="str">
        <x:v>酵母蛋白和乳清蛋白有什么区别？</x:v>
      </x:c>
      <x:c r="C43" s="5" t="str">
        <x:v>品类认知</x:v>
      </x:c>
      <x:c r="D43" s="5" t="str">
        <x:v>元宝</x:v>
      </x:c>
      <x:c r="E43" s="5" t="str">
        <x:v>自然</x:v>
      </x:c>
      <x:c r="F43" s="5" t="str">
        <x:v>2026/9/28 15:20:02</x:v>
      </x:c>
      <x:c r="G43" s="5" t="str">
        <x:v>有效</x:v>
      </x:c>
      <x:c r="H43" s="5" t="str">
        <x:v>核心结论
乳清蛋白是"黄金标准"，酵母蛋白是"可持续黑马"。​ 乳清来自牛奶，吸收快、氨基酸齐全、性价比高；酵母蛋白来自微生物发酵，完全不含动物成分，适合素食/乳糖不耐人群，但口感和成本仍是短板。
两者真正的分水岭不在营养表，而在适用人群——你现在属于哪一类，决定了该选谁。
一、来源与加工方式
乳清蛋白
酵母蛋白
来源
牛奶制奶酪时的副产品
糖蜜/葡萄糖经酵母菌种发酵
加工
膜过滤、离子交换、喷雾干燥
发酵 → 破壁 → 酶解 → 分离纯化
生产周期
依赖养殖业，数周级
发酵罐内数天，不占耕地
环境足迹
水耗与碳排放较高（畜牧业）
碳足迹约为乳清的 1/3~1/5​
酵母蛋白在2024年国内获批为新食品原料，之后开始规模化进入市场，所以你会觉得它"突然火了"。
二、营养与吸收对比
氨基酸谱：两者都是完全蛋白，但细节差异明显。
•
乳清的优势：亮氨酸含量突出（约 10~14%），而亮氨酸是启动肌肉合成（mTOR通路）的关键信号开关。这是乳清在增肌圈地位稳固的核心原因。
•
酵母的优势：富含谷胱甘肽前体（半胱氨酸）和完整的B族维生素群，这是动物蛋白没有的附加价值。
消化吸收：乳清是公认的"快蛋白"，约1.5~2小时基本吸收完；酵母蛋白因含有较多核苷酸、β-葡聚糖等胞内成分，吸收略慢，但饱腹感更强，对控体重人群反而是加分项。
消化耐受：乳清对乳糖不耐者（亚洲人约70%~90%有不同程度不耐受）容易胀气腹泻；酵母蛋白无乳糖，但有约5%~10%的人反馈发酵味或后味不适。
三、关键差异速查
维度
乳清蛋白
酵母蛋白
蛋白质纯度
80%（浓缩）/90%+（分离）
70%~85%
关键短板
乳糖、动物源、环保争议
有发酵味、价格偏高、品牌少
价格区间
¥150~400/kg
¥300~800+/kg
是否纯素
❌
✅
增肌效率证据
30年+人体研究积累
研究刚起步，样本量小
口感
奶香，接受度高
偏淡、带发酵味，需调味掩盖
过敏原
牛奶蛋白过敏风险
几乎无（极少对酵母敏感）
四、怎么选
•
增肌 / 健身人群​ → 优先乳清分离蛋白（WPI），纯度高、乳糖低、亮氨酸充足，证据链最完整
•
素食 / 纯素 / 环保优先​ → 酵母蛋白，或搭配豌豆+大米蛋白做氨基酸互补
•
乳糖不耐​ → 乳清分离蛋白（乳糖&lt;1%）或​ 酵母蛋白，两个都能选
•
中老年 / 需控体重​ → 酵母蛋白的饱腹感和B族维生素是加分项，但建议先买小包装试口感
务实建议：如果纯素不是刚需，乳清在性价比和增肌证据上仍占优；如果是纯素或环保是硬需求，酵母蛋白是目前最接近乳清营养质量的植物/微生物来源替代品。</x:v>
      </x:c>
      <x:c r="I43" s="5" t="str">
        <x:v>否</x:v>
      </x:c>
      <x:c r="J43" s="5" t="str"/>
      <x:c r="K43" s="5" t="str"/>
      <x:c r="L43" s="5" t="str"/>
      <x:c r="M43" s="5" t="str"/>
      <x:c r="N43" s="5" t="str">
        <x:v>类型建议或无品牌</x:v>
      </x:c>
      <x:c r="O43" s="5" t="str"/>
      <x:c r="P43" s="5" t="str"/>
      <x:c r="Q43" s="5" t="str"/>
      <x:c r="R43" s="5" t="str"/>
      <x:c r="S43" s="5" t="str"/>
      <x:c r="T43" s="5" t="str"/>
      <x:c r="U43" s="5" t="str">
        <x:v>否</x:v>
      </x:c>
      <x:c r="V43" s="5" t="str"/>
      <x:c r="W43" s="5" t="str">
        <x:v>https://yuanbao.tencent.com/chat/naQivTmsDa/0QnuBnUiMV6</x:v>
      </x:c>
      <x:c r="X43" s="5" t="n">
        <x:v>0</x:v>
      </x:c>
      <x:c r="Y43" s="5" t="str">
        <x:v>否</x:v>
      </x:c>
    </x:row>
    <x:row r="44" ht="34" customHeight="1">
      <x:c r="A44" s="5" t="str">
        <x:v>Q3</x:v>
      </x:c>
      <x:c r="B44" s="5" t="str">
        <x:v>酵母蛋白值得买吗？</x:v>
      </x:c>
      <x:c r="C44" s="5" t="str">
        <x:v>品类认知</x:v>
      </x:c>
      <x:c r="D44" s="5" t="str">
        <x:v>元宝</x:v>
      </x:c>
      <x:c r="E44" s="5" t="str">
        <x:v>自然</x:v>
      </x:c>
      <x:c r="F44" s="5" t="str">
        <x:v>2026/9/28 15:20:46</x:v>
      </x:c>
      <x:c r="G44" s="5" t="str">
        <x:v>有效</x:v>
      </x:c>
      <x:c r="H44" s="5" t="str">
        <x:v>结论：可以买，但目前更像“乳清的平价替补”，不是非买不可。​
如果你乳糖不耐受、不吃乳制品或素食，或者嫌乳清太贵，酵母蛋白很值得试；如果追求训练后吸收速度、口感与成熟配方，乳清仍更有优势。
它是什么
酵母蛋白通常以酿酒酵母经发酵、破壁、脱核酸、分离纯化制成，不等于发面用的普通干酵母。食品级产品要求蛋白质不低于 70克/100克；合格产品还应经过脱核酸处理，不能拿普通酵母的“高嘌呤”直接套在它身上。
优点
•
属于完全蛋白：含全部9种必需氨基酸，整体氨基酸组成比多数单一植物蛋白均衡。
•
不含乳糖、不含常见乳制品过敏原：适合乳糖不耐受者。
•
蛋白质质量不差：相关资料称其蛋白质消化率校正氨基酸评分可达满分，最终消化率与乳清没有显著差异；但独立人体研究仍少于乳清。
•
适合日常补蛋白：对普通健身、减脂、中老年营养，不必执着于“训练后必须喝乳清”。
•
成本可能更低：部分酵母蛋白粉价格明显低于乳清，但产品差异很大，必须按“每克蛋白质”计算。
缺点
1.
溶解和口感通常不如乳清​
容易结块、粉感重，需要多摇一会儿。
2.
吸收速度通常更慢​
对日常总摄入量影响有限；但若你特别在意训练后快速补充，乳清更合适。
3.
营销溢价和产品虚标​
包装写“酵母蛋白”不代表含量很高。要看配料表顺序和营养成分表的蛋白质“克/100克”，而不是只看“高蛋白”宣传。
4.
证据仍不算成熟​
短期研究和应用数据较积极，但长期、独立、多中心的人群证据仍少于乳清和大豆蛋白。宣传中的降尿酸、调血脂、改善骨密度等功效，不能当作确定疗效。
痛风/高尿酸怎么办？
食品级酵母蛋白经过脱核酸处理后，嘌呤通常明显低于未处理的完整酵母，按正常食用量一般不必过度担心；不过不同品牌的实际数值可能不同。如果正在痛风急性发作，或尿酸长期明显偏高，建议先咨询医生，不要因为“低嘌呤”标签就自行大量补充。
另外，国内新食品原料要求中，酵母蛋白标签应提示：婴幼儿、孕妇和哺乳期妇女不宜食用。
怎么买最划算
优先选择：
•
蛋白质 ≥70克/100克
•
配料简单，最好酵母蛋白排第一
•
明确标注脱核酸、低嘌呤检测或核酸指标
•
有生产日期、执行标准、检测报告
•
按 “每100克价格 ÷ 每100克蛋白质克数”​ 比较，别按桶重或品牌直接比
你的情况
建议
乳糖不耐受、纯素或牛奶蛋白不适
值得买​
只想日常补充，乳清太贵
可以买​
主要目标是增肌，且预算充足
乳清更成熟
主要训练后补蛋白
乳清优先
有慢性肾病、痛风或正在服药
先问医生/营养师
孕妇、哺乳期或婴幼儿
不建议食用酵母蛋白
一句话判断：把它当成“日常补蛋白的便宜、无乳糖选项”很合理；把它神化成全面超越乳清，没必要。如果你把具体产品的配料表、营养成分表和每克蛋白价格发来，我可以直接帮你算是否值得买。</x:v>
      </x:c>
      <x:c r="I44" s="5" t="str">
        <x:v>否</x:v>
      </x:c>
      <x:c r="J44" s="5" t="str"/>
      <x:c r="K44" s="5" t="str"/>
      <x:c r="L44" s="5" t="str"/>
      <x:c r="M44" s="5" t="str"/>
      <x:c r="N44" s="5" t="str">
        <x:v>类型建议或无品牌</x:v>
      </x:c>
      <x:c r="O44" s="5" t="str"/>
      <x:c r="P44" s="5" t="str"/>
      <x:c r="Q44" s="5" t="str"/>
      <x:c r="R44" s="5" t="str">
        <x:v>谁是健身圈公认的“平替之王”,凭实力吊打乳清蛋白?
《酵母蛋白白皮书》发布:中国蛋白产业迎来“第三种力量”
酵母蛋白:重新定义低嘌呤优质蛋白的健康价值
酵母蛋白粉和蛋白粉哪个好
酵母蛋白粉怎么样
3位院士发声,全球酵母蛋白产业在湖北宜昌开启新征程
酵母蛋白:被误解的低嘌呤优质蛋白,科学认知亟待普及
多品牌蛋白粉每桶涨价近百元,乳清蛋白成本翻倍,消费者寻找平替
酵母蛋白:低嘌呤优质蛋白的科学解析与健康启示
3位院士站台､6大品牌签约!第二届酵母蛋白国际研讨会释放重磅信号
Yeast Protein
认识酵母蛋白:第三类优质蛋白原料
乳清涨到700一桶,都在换200块的酵母蛋白?先把这3个争议和4个坑说清楚
我国酵母蛋白产业步入深度“发酵”期 第二届酵母蛋白科学技术国际研讨会湖北宜昌召开
一文读懂酵母蛋白7大核心问答:非转基因､低嘌呤､PDCAAS1.0,优质完全蛋白全解析
比牛肉贵的乳清蛋白,有什么可以替代
被加进蛋白棒､代餐奶昔的酵母蛋白,到底是什么?
全球首部酵母蛋白白皮书在湖北宜昌发布
酵母蛋白:低嘌呤优质蛋白的理想之选,数据见证其营养优势</x:v>
      </x:c>
      <x:c r="S44" s="5" t="str">
        <x:v>https://shipin.sdnews.com.cn/spts/202606/t20260617_4694225.htm
http://mp.weixin.qq.com/s?__biz=MjM5MzQxMzMwMg==&amp;mid=2655401213&amp;idx=1&amp;sn=f1a438b94a5ffcdb0dea9cdbe2db6b34&amp;chksm=bc9f5a38403f4425d72696faaadda8ed9fee6a18d0e06d816acc080e7e0c8f2355f11d54b6d1#rd
https://www.toutiao.com/article/7584770330477199907/
https://health.baidu.com/m/detail/ar_6065810076690586730
https://health.baidu.com/m/detail/ar_6405486850953561728
https://foodscn.cn/zixun/14977
https://cloud.kepuchina.cn/newSearch/imgText?id=7394027032366993408&amp;is_self=2
http://mp.weixin.qq.com/s?__biz=MzU2MDQwOTc2Mw==&amp;mid=2247608982&amp;idx=1&amp;sn=1e0ed0920c4199eb4c59d6466550a998&amp;chksm=fddb5911686bbe0a7a108156c94fb4abb7a148135aa81c462711ecd70195ea46cdc5f4839bed#rd
http://mp.weixin.qq.com/s?__biz=Mzk0NzY0ODM4NA==&amp;mid=2247484198&amp;idx=1&amp;sn=d387d33854d84bfcf3f1665358cc05c7&amp;chksm=c21b9500e0ef49d3d02c3524ca18e25de640793ead4d828b817d5c875dfea36ffda4e2656a19#rd
https://www.bjnews.com.cn/detail/1778124071129348.html
https://asxan.ai/ingredients/yeast-protein
http://mp.weixin.qq.com/s?src=11&amp;timestamp=1790580021&amp;ver=6993&amp;signature=hO3ZDCqQ8457-uKyKVSGJyhdhCw3t89AVGsJGBLPm--fZOVM6BW0roGG*FrFzwlD2dAsXS2a0x6IKF3CY3eyaMB1PNJ4uR5S8FRBhxruQthhTTMWY0PzjoqA8IoamSFd&amp;new=1
https://post.smzdm.com/p/aqr0zp9v
https://www.foodscn.cn/jujiao/14981
https://www.angelyeast.com/info/1755.html
http://mp.weixin.qq.com/s?src=11&amp;timestamp=1790580021&amp;ver=6993&amp;signature=F8hpinRCDQVFEDb8E6-yC0qks5b4BLDi0vmdWsWbCGLTP9-VcdxkjuLI*gjQxY2anVDkFaDZGuSawO6IesR24P5xu3IyXKQPnmV-mld0zu*-hXUhpE9vQkW3q0b5AwB*&amp;new=1
http://mp.weixin.qq.com/s?__biz=MjM5ODA1OTM0Mg==&amp;mid=2650346904&amp;idx=1&amp;sn=153ca7695ea64df65d551b671bc8b665&amp;chksm=bfcaed9a4f0b84ae0cfa81673ae41bbee44a9f042cc813f55cf805878f6a98c438722faef46e#rd
https://emcreative.eastmoney.com/app_fortune/article/index.html?artCode=20260413145421513430480&amp;postId=1692596290
https://m.99.com.cn/a/1742464</x:v>
      </x:c>
      <x:c r="T44" s="5" t="str">
        <x:v>shipin.sdnews.com.cn
mp.weixin.qq.com
www.toutiao.com
health.baidu.com
health.baidu.com
foodscn.cn
cloud.kepuchina.cn
mp.weixin.qq.com
mp.weixin.qq.com
www.bjnews.com.cn
asxan.ai
mp.weixin.qq.com
post.smzdm.com
www.foodscn.cn
www.angelyeast.com
mp.weixin.qq.com
mp.weixin.qq.com
emcreative.eastmoney.com
m.99.com.cn</x:v>
      </x:c>
      <x:c r="U44" s="5" t="str">
        <x:v>是</x:v>
      </x:c>
      <x:c r="V44" s="5" t="str"/>
      <x:c r="W44" s="5" t="str">
        <x:v>https://yuanbao.tencent.com/chat/naQivTmsDa/0QnuFfRRGwy</x:v>
      </x:c>
      <x:c r="X44" s="5" t="n">
        <x:v>19</x:v>
      </x:c>
      <x:c r="Y44" s="5" t="str">
        <x:v>否</x:v>
      </x:c>
    </x:row>
    <x:row r="45" ht="34" customHeight="1">
      <x:c r="A45" s="5" t="str">
        <x:v>Q4</x:v>
      </x:c>
      <x:c r="B45" s="5" t="str">
        <x:v>酵母蛋白有哪些品牌？</x:v>
      </x:c>
      <x:c r="C45" s="5" t="str">
        <x:v>品类认知</x:v>
      </x:c>
      <x:c r="D45" s="5" t="str">
        <x:v>元宝</x:v>
      </x:c>
      <x:c r="E45" s="5" t="str">
        <x:v>自然</x:v>
      </x:c>
      <x:c r="F45" s="5" t="str">
        <x:v>2026/9/28 15:23:18</x:v>
      </x:c>
      <x:c r="G45" s="5" t="str">
        <x:v>有效</x:v>
      </x:c>
      <x:c r="H45" s="5" t="str">
        <x:v>酵母蛋白目前仍属于较新的细分品类，真正“以酵母蛋白为核心”的消费品牌并不多；市场上更多是含酵母蛋白的复配产品。购买时重点看配料表和营养成分表，别把“啤酒酵母粉”“营养酵母”“酵母抽提物”直接等同于高纯度酵母蛋白。
国内可关注
1. 安琪／安琪纽特
目前国内较有代表性的酵母蛋白路线品牌，产品包括酵母蛋白粉、酵母蛋白饮料、软糖等，原料端使用 AnPro／AngeoPro。
2. ffit8
与安琪合作推出过牛轧糖蛋白棒、蛋白牛轧糖，产品采用酵母蛋白与乳清、大豆等复配，并非纯酵母蛋白粉。
3. 概特
已有以酵母蛋白为核心的运动营养粉产品，采用安琪原料；部分产品是纯酵母蛋白，部分则是酵母蛋白与乳清、酪蛋白等复配。
4. 其他消费端品牌
搜索结果中还能看到：
•
现吻 MuaNow：推出高占比酵母基底的益生菌酵母蛋白粉，但相关产品资料主要来自品牌自身发布。
•
米当卡、英之素、Allkeep、南巨、三角瞄等：常被归入较早推出酵母蛋白粉的新锐或垂类运动营养品牌，市场变化较快。
•
赛霸、Keep、6星、马泰时刻等：部分推出了“酵母蛋白＋乳清”或酵母蛋白占比相对较低的复配产品。
其中，部分小品牌存在贴牌代工、配方和原料占比披露不充分的问题，不宜仅凭“酵母蛋白粉”名称判断其含量。
海外消费品牌与产品
•
日本森永 in Bar Protein：部分产品将酵母蛋白浓缩物与乳清蛋白、大豆蛋白复配，单根蛋白质含量约10～16克。
•
法国 Reify Nutrition：推出豌豆、大米和酵母蛋白复配的咸味蛋白棒。
•
雀巢 Nesquik Up Double Protein 即溶可可粉：西班牙市场版本将酵母蛋白作为主要蛋白来源之一。
•
美国 RNWY Complete Protein：宣传为素食完全蛋白配方，包含酵母蛋白等蛋白来源。
原料企业不等于终端品牌
如果你是找食品厂原料，而不是买成品蛋白粉，可关注：
•
安琪酵母 AnPro／AngeoPro
•
Lallemand：旗下有 Engevita HiPRO Beyond 等富含蛋白的酵母原料
•
Lesaffre／Biospringer
•
Ohly、Leiber
•
Yeap、Revyve、Yeastup、Intake等海外初创企业，多处于商业化早期或特定应用场景阶段。
怎么选
•
想补充纯蛋白：优先选配料表靠前位置明确标示“酵母蛋白”，并注明添加比例或蛋白质含量。
•
乳糖不耐受：选纯酵母蛋白或纯植物蛋白，注意避开“酵母＋乳清／牛奶蛋白”的复配款。
•
有痛风或高尿酸问题：酵母原料仍可能带来嘌呤负担，先咨询医生，不要只看“脱核酸”。
•
孕妇、哺乳期及婴幼儿：国内酵母蛋白新食品原料的使用提示中，这些人群不宜食用。
•
只是普通营养酵母、啤酒酵母粉：蛋白质含量和精制程度通常明显低于酵母蛋白原料。</x:v>
      </x:c>
      <x:c r="I45" s="5" t="str">
        <x:v>否</x:v>
      </x:c>
      <x:c r="J45" s="5" t="str"/>
      <x:c r="K45" s="5" t="str"/>
      <x:c r="L45" s="5" t="str">
        <x:v>安琪纽特</x:v>
      </x:c>
      <x:c r="M45" s="5" t="str">
        <x:v>Keep、6星、安琪纽特、赛霸/小赛同学、概特/盖特、米当卡、ALLKEEP、南巨、英之素、三角喵、马泰时刻、ffit8</x:v>
      </x:c>
      <x:c r="N45" s="5" t="str">
        <x:v>品牌提及/类型说明</x:v>
      </x:c>
      <x:c r="O45" s="5" t="str"/>
      <x:c r="P45" s="5" t="str"/>
      <x:c r="Q45" s="5" t="str"/>
      <x:c r="R45" s="5" t="str">
        <x:v>乳糖不耐受者的破局之选:概特酵母蛋白粉开启运动补剂新篇章
Angel yeast-global yeast and yeast extract manufacturer and supplier
认识酵母蛋白:第三类优质蛋白原料
乳清涨疯了,全网都在换160元5磅的酵母蛋白粉?我翻了四个平台的评论区:有人能换,有人真别碰
2026年全球酵母蛋白销售额约30亿元 应用场景从"小众"走向"大众"[图]
被加进蛋白棒､代餐奶昔的酵母蛋白,到底是什么?
ybyh
酵母蛋白品牌排名
新国标首次列出､拟再投7.97亿元,酵母蛋白离大众市场还有多远?
酵母蛋白什么牌子好
Fermented Yeast Proteins Market
看不见的酵母,怎样改变一日三餐?
絕佳蛋白質來源,營養酵母V.S.啤酒酵母 都是酵母怎差那麼多?
现吻MuaNow原味酵母蛋白粉国风新品正式发布
Yeast Protein Market Report 2025-2034
超越蛋白补充:酵母蛋白打开银发功能营养新格局
AnPro酵母蛋白——引航运动营养与可持续未来的技术革新</x:v>
      </x:c>
      <x:c r="S45" s="5" t="str">
        <x:v>https://life.china.com/2026-06/05/content_586657.html
https://en.angelyeast.com?dddd/
http://mp.weixin.qq.com/s?__biz=MzcwMTQzOTIzNA==&amp;mid=2247483766&amp;idx=1&amp;sn=cd70d26d1082fa57ffacd2ee6bbbe114&amp;chksm=f56a1349823a43f728bca76ea63219e023a77da9671a1a2e547a0a61adf18084bcff95ea3ac9#rd
https://post.smzdm.com/p/awwrqm52
https://www.gonyn.com/industry/1944157.html
http://mp.weixin.qq.com/s?__biz=MjM5ODA1OTM0Mg==&amp;mid=2650346904&amp;idx=1&amp;sn=153ca7695ea64df65d551b671bc8b665&amp;chksm=bfcaed9a4f0b84ae0cfa81673ae41bbee44a9f042cc813f55cf805878f6a98c438722faef46e#rd
https://xueqiu.com/n/ybyh
https://aiqicha.baidu.com/details/ugknowledge?id=f9c43aec6f33da23330a59103232b677
http://mp.weixin.qq.com/s?__biz=Mzk2NDM4OTQ1NA==&amp;mid=2247500568&amp;idx=1&amp;sn=c2af88c3ba3659a3ff49b1470b8b8f7a&amp;chksm=c5c5f35f90c48400241df2fb87a0b6f2fd358cfb76e2f997da139ed6c9ab0190f3b8c7cb869c#rd
https://aiqicha.baidu.com/details/ugknowledge?id=81b9820e3417f5a61ca2fec04225ec6e
https://www.factmr.com/report/fermented-yeast-proteins-market?section=faqs
https://shipin.sdnews.com.cn/spbj/202609/t20260923_4743762.htm
https://www.nutribook.net/vegetarian-diet/lalmin-17/the-difference-between-various-types-of-yeast/
http://mp.weixin.qq.com/s?src=11&amp;timestamp=1790580160&amp;ver=6993&amp;signature=I*McHRbuIBGiAqIh8ssGlMRTMLvif86LdBlkA*eOS2kSkHQkiHLQk9U04SdhchjJBpojioDknui92Yn7xGe82BldX3HTbFOiega8Lkp5OtHJWFGuZDJ-OBMuIsySVtps&amp;new=1
https://growthmarketreports.com/report/yeast-protein-market
https://shipin.sdnews.com.cn/sppp/202508/t20250822_4567749.htm
https://shipin.sdnews.com.cn/sppp/202511/t20251118_4603949.htm</x:v>
      </x:c>
      <x:c r="T45" s="5" t="str">
        <x:v>life.china.com
en.angelyeast.com
mp.weixin.qq.com
post.smzdm.com
www.gonyn.com
mp.weixin.qq.com
xueqiu.com
aiqicha.baidu.com
mp.weixin.qq.com
aiqicha.baidu.com
www.factmr.com
shipin.sdnews.com.cn
www.nutribook.net
mp.weixin.qq.com
growthmarketreports.com
shipin.sdnews.com.cn
shipin.sdnews.com.cn</x:v>
      </x:c>
      <x:c r="U45" s="5" t="str">
        <x:v>是</x:v>
      </x:c>
      <x:c r="V45" s="5" t="str"/>
      <x:c r="W45" s="5" t="str">
        <x:v>https://yuanbao.tencent.com/chat/naQivTmsDa/0QnuQEOqhqT</x:v>
      </x:c>
      <x:c r="X45" s="5" t="n">
        <x:v>17</x:v>
      </x:c>
      <x:c r="Y45" s="5" t="str">
        <x:v>是</x:v>
      </x:c>
    </x:row>
    <x:row r="46" ht="34" customHeight="1">
      <x:c r="A46" s="5" t="str">
        <x:v>Q5</x:v>
      </x:c>
      <x:c r="B46" s="5" t="str">
        <x:v>乳糖不耐受的人适合喝什么蛋白粉？</x:v>
      </x:c>
      <x:c r="C46" s="5" t="str">
        <x:v>需求解决</x:v>
      </x:c>
      <x:c r="D46" s="5" t="str">
        <x:v>元宝</x:v>
      </x:c>
      <x:c r="E46" s="5" t="str">
        <x:v>自然</x:v>
      </x:c>
      <x:c r="F46" s="5" t="str">
        <x:v>2026/9/28 15:27:22</x:v>
      </x:c>
      <x:c r="G46" s="5" t="str">
        <x:v>有效</x:v>
      </x:c>
      <x:c r="H46" s="5" t="str">
        <x:v>优先选择
1.
分离乳清蛋白（WPI）​
通常乳糖含量很低，适合多数乳糖不耐受者，健身增肌时也够用。建议购买明确标注 “分离乳清蛋白”“低乳糖”或“几乎不含乳糖”​ 的产品。
2.
植物蛋白粉​
•
豌豆蛋白
•
大豆蛋白
•
糙米蛋白
•
多种植物蛋白混合粉
天然不含乳糖，是完全避开乳糖的选择；最好选择 多种植物蛋白混合​ 的产品，氨基酸搭配更完整。
3.
以分离乳清为基底的水解乳清蛋白​
吸收较快，乳糖通常也较低；但要确认配料中是否仍混有普通浓缩乳清，并确认是“水解分离乳清”。
尽量避开
•
浓缩乳清蛋白（WPC）：乳糖和乳糖残留通常较高。
•
普通酪蛋白粉：虽然吸收慢，但仍是牛奶来源。
•
写着“混合乳清”“复合型蛋白”却未标明乳糖含量的产品：可能含有较多浓缩乳清。
•
配料中含 乳糖、乳清、乳清粉、酪蛋白、牛奶蛋白​ 的产品。
买之前这样看
•
蛋白质来源最好排在第一位；
•
优先选配料简单、少糖、少甜味剂的产品；
•
第一次从 半份量​ 开始，随餐或搭配食物饮用；
•
即使分离乳清乳糖很低，也可能因人工甜味剂、菊粉、膳食纤维等引起胀气，不代表一定是乳糖问题。
一句话建议：如果只是普通乳糖不耐受，选 分离乳清蛋白；想彻底不含乳成分，选 豌豆/大豆等混合植物蛋白。如果喝奶后会出现皮疹、呕吐或咽喉肿胀，要警惕牛奶蛋白过敏，而不是单纯乳糖不耐受，应避免乳清和酪蛋白。</x:v>
      </x:c>
      <x:c r="I46" s="5" t="str">
        <x:v>否</x:v>
      </x:c>
      <x:c r="J46" s="5" t="str"/>
      <x:c r="K46" s="5" t="str"/>
      <x:c r="L46" s="5" t="str"/>
      <x:c r="M46" s="5" t="str"/>
      <x:c r="N46" s="5" t="str">
        <x:v>类型建议或无品牌</x:v>
      </x:c>
      <x:c r="O46" s="5" t="str"/>
      <x:c r="P46" s="5" t="str"/>
      <x:c r="Q46" s="5" t="str"/>
      <x:c r="R46" s="5" t="str">
        <x:v>蛋白粉乳糖不耐受能喝吗
Eating, Diet, &amp; Nutrition for Lactose Intolerance
蛋白粉的“隐藏糖”:为什么你喝的蛋白粉会胀气?—— 浓缩乳清蛋白与酪蛋白的乳糖揭秘
蛋白粉有乳糖吗
Digestion and Absorption
20分离乳清蛋白蛋白质含量
Lactose Intolerance
2026年喝蛋白粉减少肠道不适的选品参考:从乳糖含量开始筛选
关于蛋白粉,你选对了吗?
Lactose intolerance: Avoiding dairy unnecessary in most cases
蛋白粉类型怎么选?FoYes对比选购指南
春节送礼攻略!四步教你选对优质蛋白粉,保你送到心坎里
Treatment for Lactose Intolerance
乳糖敏感人群选择乳清蛋白要注意什么?
每天一勺蛋白粉,真的能提高免疫力吗?
Lactose Intolerance: Symptoms, Causes &amp; Treatment
如何合理选择蛋白粉?
吃蛋白粉老是拉肚子如何治疗
濃縮乳清､分離乳清､水解乳清怎麼選?三種乳清蛋白完整比較</x:v>
      </x:c>
      <x:c r="S46" s="5" t="str">
        <x:v>https://health.baidu.com/m/detail/ar_6621868540449465876
https://www.niddk.nih.gov/health-information/digestive-diseases/lactose-intolerance/eating-diet-nutrition
http://mp.weixin.qq.com/s?src=11&amp;timestamp=1790580327&amp;ver=6993&amp;signature=9PXO-wpaWN6NoqlhSF7Hdxveb3EgxKuG9GR0JKoKkIiqvszYEKUrkiOLOEFSqO8rEA6vk1WzwuXCUtUzre0eva1IcVQXppzB6TZ9dXkgRNCtEx*b5zkeOVHeVg3tfx-j&amp;new=1
https://health.baidu.com/m/detail/ar_6671130681344933402
http://samples.jbpub.com/9781284021165/9781449649241_CH03_Insel_4886_1.pdf
https://health.baidu.com/m/detail/ar_5761698500595742325
https://orlandogastroenterology.com/lactose-intolerance/
https://m.99.com.cn/a/2492206/
http://mp.weixin.qq.com/s?__biz=MjM5ODk5MTcwMQ==&amp;mid=2448570239&amp;idx=4&amp;sn=faae264f8871a57eaac28c43aa17aa57&amp;chksm=b3589f7fff77c2e8a502e275c332616f3d63cf93f445500eb6d934cb00331437dd18cf1d139e#rd
https://www.sciencecodex.com/lactose_intolerance_avoiding_dairy_unnecessary_in_most_cases
http://www.bozhou.cn/p/396240.html
https://cloud.kepuchina.cn/newSearch/imgText?id=7422065689367175168
https://www.niddk.nih.gov/health-information/digestive-diseases/lactose-intolerance/treatment
https://food.china.com.cn/2026-09/08/content_118685393.shtml
https://wsjkw.sh.gov.cn/spwsyyy/20260904/f62140b58948436c81f6f5a39547c066.html
https://www.tuasaude.com/en/lactose-intolerance
http://mp.weixin.qq.com/s?__biz=MzIzMzY2MTIzMw==&amp;mid=2247485308&amp;idx=1&amp;sn=e47fde45060f65abb26993a939309e20&amp;chksm=e92504d8c9aa04af21aef7b7d4e1b1d2e321e2ad751ee712579e77431cc1cb9285b4214e93c8#rd
https://m.bohe.cn/article/mip/336xvbo62kr01gl.html
https://blog.betterbio.com.tw/?p=1645</x:v>
      </x:c>
      <x:c r="T46" s="5" t="str">
        <x:v>health.baidu.com
www.niddk.nih.gov
mp.weixin.qq.com
health.baidu.com
samples.jbpub.com
health.baidu.com
orlandogastroenterology.com
m.99.com.cn
mp.weixin.qq.com
www.sciencecodex.com
www.bozhou.cn
cloud.kepuchina.cn
www.niddk.nih.gov
food.china.com.cn
wsjkw.sh.gov.cn
www.tuasaude.com
mp.weixin.qq.com
m.bohe.cn
blog.betterbio.com.tw</x:v>
      </x:c>
      <x:c r="U46" s="5" t="str">
        <x:v>是</x:v>
      </x:c>
      <x:c r="V46" s="5" t="str"/>
      <x:c r="W46" s="5" t="str">
        <x:v>https://yuanbao.tencent.com/chat/naQivTmsDa/0QnuciOQqUy</x:v>
      </x:c>
      <x:c r="X46" s="5" t="n">
        <x:v>19</x:v>
      </x:c>
      <x:c r="Y46" s="5" t="str">
        <x:v>否</x:v>
      </x:c>
    </x:row>
    <x:row r="47" ht="34" customHeight="1">
      <x:c r="A47" s="5" t="str">
        <x:v>Q6</x:v>
      </x:c>
      <x:c r="B47" s="5" t="str">
        <x:v>喝乳清蛋白容易肚子不舒服，有什么其他蛋白粉可以选？</x:v>
      </x:c>
      <x:c r="C47" s="5" t="str">
        <x:v>需求解决</x:v>
      </x:c>
      <x:c r="D47" s="5" t="str">
        <x:v>元宝</x:v>
      </x:c>
      <x:c r="E47" s="5" t="str">
        <x:v>自然</x:v>
      </x:c>
      <x:c r="F47" s="5" t="str">
        <x:v>2026/9/28 15:32:06</x:v>
      </x:c>
      <x:c r="G47" s="5" t="str">
        <x:v>有效</x:v>
      </x:c>
      <x:c r="H47" s="5" t="str">
        <x:v>先别急着换更贵的蛋白粉——同样不舒服，未必是乳清本身，也可能是乳糖、冲调方式或单次剂量。先做一次“单变量测试”最省事。
一、按顺序试，别一次换品牌又换类型
1.
只喝 10～15 克，用温水冲稀一点，随餐或餐后喝​
一次超过 30 克蛋白质、冲得很浓，或空腹大量喝，都可能腹胀、腹泻。
2.
换个“配方干净”的普通乳清再试一次​
重点看配料表：避免“浓缩乳清蛋白+麦芽糊精+植脂末+三氯蔗糖/糖醇+大量膳食纤维”的复合粉。很多不适来自甜味剂、糖醇和添加剂，而不是蛋白质。
3.
如果喝纯牛奶也容易腹胀、排气、腹泻​
大概率是乳糖不耐受，直接按下面方案换。
二、替代蛋白粉怎么选
替代方向
适合谁
注意点
分离乳清蛋白（WPI）​
只是对乳糖敏感，仍想保留乳清的增肌效率
乳糖含量通常比浓缩乳清低很多；但仍含乳蛋白，牛奶过敏者不能用。别看到“分离”就默认零乳糖，要查营养标签
水解乳清蛋白（WPH）​
肠胃敏感、想进一步减轻消化负担
蛋白被预水解、吸收较快，但仍可能含乳糖和乳蛋白，乳蛋白过敏或严重乳糖不耐受未必解决；口感偏苦，价格高
大豆分离蛋白​
不想喝乳制品、素食者
是氨基酸较完整的植物蛋白，但大豆属于常见过敏原；部分人仍会胀气
豌豆蛋白​
对牛奶和大豆都敏感
相对低敏、无乳糖；蛋氨酸略低，选“豌豆+糙米”等混合配方更均衡，单喝也够日常补充
糙米/米蛋白​
过敏体质、追求低敏
单一来源赖氨酸不足，最好与豌豆蛋白搭配
混合植物蛋白​
乳糖和大豆都想避开
优先看“蛋白质≥20克/份”、配料简单、明确写无乳糖；不是标着“植物”就一定低糖或更好消化
最省心的推荐顺序：
•
只是乳糖不耐受：先试分离乳清蛋白
•
牛奶、酸奶、奶酪都容易不舒服，或不想碰乳制品：试豌豆蛋白或豌豆+糙米混合蛋白
•
换了两三种仍腹胀腹泻：别再盲试，检查乳蛋白过敏、肠易激综合征等基础问题
三、两个容易忽略的关键
先确认是“乳糖不耐受”还是“牛奶蛋白过敏”。​
如果除了肚子不舒服，还反复出现皮疹、嘴唇/喉咙发紧、呕吐等，应停用所有乳清、酪蛋白产品并及时就医，不要只换成“水解乳清”。
蛋白粉只是补充，不是必需品。​
健康成年人通常每日蛋白质推荐量约 1.0～1.2 克/公斤体重，普通健身增肌额外增加 10～12 克/天往往已足够；能正常吃饭时，一个鸡蛋加一杯奶、一盒无糖豆浆加豆腐、或一餐鱼/瘦肉通常比换粉更稳妥。
另外，肾功能异常、痛风急性发作期、慢性肾病或肝病、孕期及儿童，不宜自行选择高蛋白产品；症状持续超过数天，或伴有发热、血便、严重腹痛时，应停止服用并到消化内科就诊。</x:v>
      </x:c>
      <x:c r="I47" s="5" t="str">
        <x:v>否</x:v>
      </x:c>
      <x:c r="J47" s="5" t="str"/>
      <x:c r="K47" s="5" t="str"/>
      <x:c r="L47" s="5" t="str"/>
      <x:c r="M47" s="5" t="str"/>
      <x:c r="N47" s="5" t="str">
        <x:v>类型建议或无品牌</x:v>
      </x:c>
      <x:c r="O47" s="5" t="str"/>
      <x:c r="P47" s="5" t="str"/>
      <x:c r="Q47" s="5" t="str"/>
      <x:c r="R47" s="5" t="str">
        <x:v>不会拉肚子的蛋白粉
货架上的蛋白粉怎么挑?营养专家披露“原料·工艺·认证”三重标准
素食 蛋白粉
肠胃差不建议吃蛋白粉吗
【安医科普】蛋白粉,你选对了吗?
分离乳清蛋白粉是什么?从牛奶到高纯度蛋白粉的来龙去脉
植物蛋白粉推荐
喝完蛋白粉拉肚子怎么回事?
喝蛋白粉后小腹不舒服
【营养课堂】蛋白粉五花八门,营养师教你怎么选!
植物蛋白质粉的作用与功效
吃了蛋白粉胃不舒服怎么回事
喝蛋白粉拉肚子怎么办
浓缩乳清蛋白
植物蛋白是什麼?大豆蛋白､豌豆蛋白､米蛋白完整解析Spark Protein 官方網站
喝蛋白粉拉肚子是什么原因
乳糖不耐受该选哪种蛋白粉?
乳糖敏感人群選擇乳清蛋白要注意什麼?
中小西讲科普 教你如何选择合适蛋白粉:肿瘤患者的营养补充攻略
喝蛋白粉拉肚子的原因
喝乳清蛋白會拉肚子､脹氣?關鍵在選錯種類
如何科学选择蛋白粉
肠胃不好可以喝蛋白粉吗
喝蛋白粉能造成拉肚子吗
喝乳清會拉肚子?為什麼喝完乳清總是脹氣?營養師教你真正原因與替代選擇
科学补充蛋白质适量摄入更健康
【光明日报】补充蛋白质,不是吃不够,就是吃不对?
喝蛋白粉拉肚子怎么办
National Nutrition Week 2024年全民营养周
科学补营养 吃对更健康
喝完蛋白粉肚子不舒服怎么办
蛋白质对免疫系统有多重要?老人尤其要注意
石榴花·健康说 45%成年人蛋白质没吃够!不同人群补蛋白质,照着吃就行!
喝完蛋白粉肚子不舒服怎么办
蛋白质摄入量标准是多少
丁钢强:我国居民蛋白质摄入需科学均衡 倡导多元化膳食来源
喝蛋白粉拉肚子怎么治疗
注意!这种“宝藏”蛋白质你可能吃少了
食品安全消费提示:蛋白粉如何进补不踩坑
喝蛋白粉拉肚子还吃吗
别再盲目安排高蛋白饮食!蛋白质虽好,拿捏分寸感更重要
正常人需要补充蛋白粉吗?
吃蛋白粉拉肚子怎么办
吃少了缺营养,吃多了伤肾,蛋白质到底该怎么吃?
喝了蛋白粉肚子胀气怎么办</x:v>
      </x:c>
      <x:c r="S47" s="5" t="str">
        <x:v>https://m.baidu.com/bh/m/detail/ar_7068730561582775070
https://gxlg.icswb.com/h/100046/20260415/973777.html
https://health.baidu.com/m/detail/ar_6781721214485708508
https://m.pingguolv.com/ask/OIfcFIZOkZkW.html
http://mp.weixin.qq.com/s?__biz=MzIxOTE2MTkzNw==&amp;mid=2247574738&amp;idx=1&amp;sn=b8271f87107c4b3b5f41e95a98db24b1&amp;chksm=9691b5dad2079da551ee212bd2b651e13de386a623e3fd2b5cee199bbc40e16b01dabb4c0bcc#rd
https://food.china.com.cn/2026-09/08/content_118685368.shtml
https://m.baidu.com/bh/m/detail/ar_6210899101255198729
https://m.bohe.cn/iask/mip/ncwwkef4kmrxheq.html
https://m.baidu.com/bh/m/detail/ar_6306262167160158524
http://mp.weixin.qq.com/s?__biz=MjM5MzE3NDM3Ng==&amp;mid=2650395126&amp;idx=6&amp;sn=be223853e68923638b7b1b7b95959304&amp;chksm=bff82616db6ef6b85f26a1b8c064f79e00339089eb184c5f9160f69a4a22f34b0adbd23b5ec5#rd
https://www.bohe.cn/article/view/9wt9tilqhkonjx2.html
https://health.baidu.com/m/detail/ar_6145662589579426337
https://www.bohe.cn/article/view/ukcgtwfozkf5m0f.html
https://baike.baidu.com/item/%E6%B5%93%E7%BC%A9%E4%B9%B3%E6%B8%85%E8%9B%8B%E7%99%BD/5164546
https://www.sparkprotein.com/pages/plant-protein
https://www.bohe.cn/article/view/e8q0m8vn9kytbbt.html
https://mip.mfk.com/ask/30181949.shtml
https://big5.china.com.cn/gate/big5/food.china.com.cn/2026-09/08/content_118685393.shtml
http://mp.weixin.qq.com/s?__biz=MzU5OTAyNzc1Nw==&amp;mid=2247538226&amp;idx=2&amp;sn=0474f6f8a41eb656f189c7be3c37a0ac&amp;chksm=ffaae51af46d429c6885a894a6fcf260e6ce7a0b9fac2ab14da81096664cce541887086f4660#rd
https://article.fh21.com.cn/view/1023214.html
https://healthybodyreceipts.com/whey-protein-type/
https://bk.cnpharm.com/zgyyb/2024/08/17/318098.html
https://health.baidu.com/m/detail/ar_7331428018636142080
https://www.bohe.cn/article/view/p8oikk6lkxw3b4p.html
https://www.allin.taipei/zh-TW/blogs/diet-life/喝乳清會拉肚子
http://paper.cfsn.cn/content/2025-12/27/content_184131.htm
https://ifnd.caas.cn/xwzx/mtbd/ef9c15ffa8f54c1eb47ccab953715f73.htm
https://www.mfk.com/ask/21590707.shtml
https://www.cnsoc.org/activitykit4/files/@CmsXh_188541cc-8078-4b17-8a88-5f918b33d8c2.pdf
https://kpzg.people.com.cn/n1/2023/0922/c404214-40082870.html
https://m.fh21.com.cn/article/view/625056.html
http://health.people.cn/n1/2022/0416/c14739-32400671.html
https://xj.news.cn/_zzq_fulian/20260915/b15b564b116145009aaea4cabe3b1bc3/c.html
https://g.fh21.com.cn/article/mip/2zwk52skkrmfyhm.html
https://zypt.mfk.com/ask/14474279.shtml
https://www.news.cn/food/20250515/f98a5ab177b74d1f8b5cd15d10de4280/c.html
https://mip.39yst.com/ask/13588680.shtml
https://www.peopleapp.com/column/30052444818-500007555836
https://www.ce.cn/cysc/sp/info/202606/t20260604_3008811.shtml
https://m.bohe.cn/article/liangyi/l3cbmwrlmk21tya.html
https://m.gmw.cn/2026-05/25/content_1304469708.htm
https://www.kepuchina.cn/article/articleinfo?business_type=100&amp;classify=0&amp;ar_id=463689
https://www.mfk.com/article/10805940.shtml
http://mp.weixin.qq.com/s?__biz=MzA3MzU2MzIwMg==&amp;mid=2650785414&amp;idx=1&amp;sn=867f34019275f58b70af23b712caa65b&amp;chksm=8668e946105795cfbad18828bb089fa254dca051f5d03d7340bed96266dced6970d0ea1caedd#rd
https://www.bohe.cn/ask/view/104608707.html</x:v>
      </x:c>
      <x:c r="T47" s="5" t="str">
        <x:v>m.baidu.com
gxlg.icswb.com
health.baidu.com
m.pingguolv.com
mp.weixin.qq.com
food.china.com.cn
m.baidu.com
m.bohe.cn
m.baidu.com
mp.weixin.qq.com
www.bohe.cn
health.baidu.com
www.bohe.cn
baike.baidu.com
www.sparkprotein.com
www.bohe.cn
mip.mfk.com
big5.china.com.cn
mp.weixin.qq.com
article.fh21.com.cn
healthybodyreceipts.com
bk.cnpharm.com
health.baidu.com
www.bohe.cn
www.allin.taipei
paper.cfsn.cn
ifnd.caas.cn
www.mfk.com
www.cnsoc.org
kpzg.people.com.cn
m.fh21.com.cn
health.people.cn
xj.news.cn
g.fh21.com.cn
zypt.mfk.com
www.news.cn
mip.39yst.com
www.peopleapp.com
www.ce.cn
m.bohe.cn
m.gmw.cn
www.kepuchina.cn
www.mfk.com
mp.weixin.qq.com
www.bohe.cn</x:v>
      </x:c>
      <x:c r="U47" s="5" t="str">
        <x:v>是</x:v>
      </x:c>
      <x:c r="V47" s="5" t="str"/>
      <x:c r="W47" s="5" t="str">
        <x:v>https://yuanbao.tencent.com/chat/naQivTmsDa/0Qnv5QaKHJ2</x:v>
      </x:c>
      <x:c r="X47" s="5" t="n">
        <x:v>45</x:v>
      </x:c>
      <x:c r="Y47" s="5" t="str">
        <x:v>否</x:v>
      </x:c>
    </x:row>
    <x:row r="48" ht="34" customHeight="1">
      <x:c r="A48" s="5" t="str">
        <x:v>Q7</x:v>
      </x:c>
      <x:c r="B48" s="5" t="str">
        <x:v>健身新手应该买什么蛋白粉？</x:v>
      </x:c>
      <x:c r="C48" s="5" t="str">
        <x:v>需求解决</x:v>
      </x:c>
      <x:c r="D48" s="5" t="str">
        <x:v>元宝</x:v>
      </x:c>
      <x:c r="E48" s="5" t="str">
        <x:v>自然</x:v>
      </x:c>
      <x:c r="F48" s="5" t="str">
        <x:v>2026/9/28 15:32:24</x:v>
      </x:c>
      <x:c r="G48" s="5" t="str">
        <x:v>有效</x:v>
      </x:c>
      <x:c r="H48" s="5" t="str">
        <x:v>如果你刚健身，大多数新手买一罐普通“浓缩乳清蛋白”就够了，不必一上来就买分离乳清、水解乳清或“增肌矩阵”。蛋白粉只是便捷补充蛋白质，不能代替训练、正常饮食和睡眠；规律力量训练并吃够全天蛋白质，才是增肌的关键。
直接给结论
你的情况
建议
没有乳糖问题，主要想增肌
浓缩乳清蛋白​
喝牛奶后腹胀、腹泻，或严格减脂
分离乳清蛋白​
素食、乳糖不耐受、牛奶过敏风险
大豆蛋白或多种植物蛋白混合​
预算有限、只想补足蛋白质
浓缩乳清或优质乳基蛋白
睡前喝、长时间不吃东西
酪蛋白可以作为补充，但不是新手必需品
肠胃特别敏感，或牛奶过敏
不要随便选乳清，先确认是乳糖不耐受还是牛奶蛋白过敏
怎么看配料和标签
购买时按这个顺序看：
1.
每份实际蛋白质有多少​
比较每份能提供多少克蛋白质，而不是只看“每100克含多少”。例如一份约30克、含20～25克蛋白质，属于比较实用的选择。
2.
配料表尽量简单​
乳清蛋白、分离乳清蛋白、浓缩乳清蛋白等应排在靠前位置；糖、植脂末、麦芽糊精、香精等不应成为主要成分。
3.
看“固体饮料”身份​
健身用的乳清蛋白粉通常是普通食品或固体饮料，不是药品，也不是保健食品。不要购买宣传“增肌特效”“提高免疫力”“修复肾脏”等夸张功能的产品。
4.
按“每克蛋白质价格”比较​
价格 ÷ 整罐实际蛋白质总量，更能看出性价比。不要被一桶总克数、赠品和包装工艺迷惑。
5.
先买小包装试口味​
味道、溶解度和肠胃反应都很重要。第一次建议从半份开始，观察是否腹胀、腹泻或起疹。
喝多少、什么时候喝
运动人群可把每天1.4～2.0克蛋白质/公斤体重作为常见参考范围，并分散到三餐，而不是全部靠蛋白粉。
比如：
•
体重70公斤：全天约98～140克蛋白质；
•
如果三餐已经吃到约90克，训练后补一份约20～25克即可。
训练后不必卡在30分钟内，运动后数小时内补充都可以；如果当天通过鸡蛋、牛奶、鸡胸肉、鱼虾和豆制品已经吃够，就不必再喝。
一句话推荐：先选“浓缩乳清蛋白”，每份20～25克蛋白质、配料简单、正规渠道购买；乳糖不耐受再升级“分离乳清”，而不是直接买最贵的水解乳清。如果你告诉我体重、训练频率以及喝奶后是否腹泻，我可以帮你算具体需要补多少。</x:v>
      </x:c>
      <x:c r="I48" s="5" t="str">
        <x:v>否</x:v>
      </x:c>
      <x:c r="J48" s="5" t="str"/>
      <x:c r="K48" s="5" t="str"/>
      <x:c r="L48" s="5" t="str"/>
      <x:c r="M48" s="5" t="str"/>
      <x:c r="N48" s="5" t="str">
        <x:v>类型建议或无品牌</x:v>
      </x:c>
      <x:c r="O48" s="5" t="str"/>
      <x:c r="P48" s="5" t="str"/>
      <x:c r="Q48" s="5" t="str"/>
      <x:c r="R48" s="5" t="str">
        <x:v>好的蛋白粉品牌 2026年蛋白粉怎么选高纯度·易吸收·低脂低卡·怕踩坑新手必看
食品安全消费提示:蛋白粉如何进补不踩坑
健身吃什么蛋白粉好
International society of sports nutrition position stand: nutrient timing - Journal of the International Society of Sports Nutrition
产品宣传打“擦边球” 蛋白粉市场有待规范
蛋白粉新手怎么选?一篇搞懂健身蛋白粉入门指南
健身补蛋白补错反而伤身体?很多人都搞错了
市场监管总局关于加强固体饮料质量安全监管的公告
不同健身人群怎么选蛋白粉?FoYes类型匹配不踩坑
运动后黄金修复期,蛋白补对了效果事半功倍
关于“网红食品”的消费提示
促进肌肉生长的蛋白质摄入标准是多少
卖点五花八门的蛋白粉,该如何选择?专家告诉你
不同类型蛋白粉怎么选?乳清､分离､水解､酪蛋白､植物蛋白介绍
增肌需要吃多少蛋白质
固体饮料消费提示
健身吃什么蛋白粉
市监知识丨舌尖上的安全,蛋白粉的消费提示
健身新手怎么选择蛋白粉?先把五个问题想清楚再下单</x:v>
      </x:c>
      <x:c r="S48" s="5" t="str">
        <x:v>https://www.huainannet.com/content.asp?id=181440
https://www.cnr.cn/food/jdt/20260604/t20260604_527647431.shtml
https://www.pingguolv.com/ask/HnFK77IKHI77.html
https://link.springer.com/article/10.1186/s12970-017-0189-4
https://www.legaldaily.com.cn/Food_Safety/content/2022-11/30/content_8807172.html
https://workoutingym.com/zh/articles/protein-powder-for-beginners-how-to-choose
http://mp.weixin.qq.com/s?__biz=MzkwMTE4NTczMQ==&amp;mid=2247502428&amp;idx=6&amp;sn=a04ed67873300da4577441f0b0707a72&amp;chksm=c1ef288553d480af259cb0456495b512f7c5f6eee1c0af3cecc8881bd347df861d2c454bad7c#rd
https://www.samr.gov.cn/cms_files/filemanager/1647978232/attach/20239/6d2163eaf5574d81aa2b208cb77743a0.pdf
https://www.cet.com.cn/wzsy/kjzx/cygdzx/10482339.shtml
https://m.toutiao.com/article/7644020101741691433
http://www.aysc.gov.cn/ayxrmzf/jg/pc/content/content_2082765606458421248.html
https://m.jiusongjiankang.com/health/shengzhi/10776806.html
https://www.sohu.com/a/508763412_162758
https://m.zgxy.gov.cn/p/150154.html
https://health.baidu.com/m/detail/ar_6232912608195332275
https://www.samr.gov.cn/spcjs/yjjl/art/2020/art_0536cb0d9f00426eb47d49a75a3e23d8.html
https://www.pingguolv.com/ask/b613DD1PRDy0.html
http://mp.weixin.qq.com/s?__biz=MzA4MzgxMjU1MA==&amp;mid=2650981187&amp;idx=2&amp;sn=a826c1de6a82623950f1d2ac7ef332e0&amp;chksm=85dc2ce161b26df2a5ea05c25137bdb4e74a705925c7c791611dcf9f23f677b48e6ea34a985a#rd
http://mp.weixin.qq.com/s?__biz=Mzk0Mzc4Nzk4NA==&amp;mid=2247486444&amp;idx=1&amp;sn=371749613b0867e397324bcce0cced0d&amp;chksm=c2cb0b724c4a2a61ea5a6023b41dea0d53545c3fc4f9fac5130a69554f6cf68e2639f8979c03#rd</x:v>
      </x:c>
      <x:c r="T48" s="5" t="str">
        <x:v>www.huainannet.com
www.cnr.cn
www.pingguolv.com
link.springer.com
www.legaldaily.com.cn
workoutingym.com
mp.weixin.qq.com
www.samr.gov.cn
www.cet.com.cn
m.toutiao.com
www.aysc.gov.cn
m.jiusongjiankang.com
www.sohu.com
m.zgxy.gov.cn
health.baidu.com
www.samr.gov.cn
www.pingguolv.com
mp.weixin.qq.com
mp.weixin.qq.com</x:v>
      </x:c>
      <x:c r="U48" s="5" t="str">
        <x:v>是</x:v>
      </x:c>
      <x:c r="V48" s="5" t="str"/>
      <x:c r="W48" s="5" t="str">
        <x:v>https://yuanbao.tencent.com/chat/naQivTmsDa/0Qnv6lKgJJA</x:v>
      </x:c>
      <x:c r="X48" s="5" t="n">
        <x:v>19</x:v>
      </x:c>
      <x:c r="Y48" s="5" t="str">
        <x:v>否</x:v>
      </x:c>
    </x:row>
    <x:row r="49" ht="34" customHeight="1">
      <x:c r="A49" s="5" t="str">
        <x:v>Q8</x:v>
      </x:c>
      <x:c r="B49" s="5" t="str">
        <x:v>增肌训练喝什么蛋白粉比较合适？</x:v>
      </x:c>
      <x:c r="C49" s="5" t="str">
        <x:v>需求解决</x:v>
      </x:c>
      <x:c r="D49" s="5" t="str">
        <x:v>元宝</x:v>
      </x:c>
      <x:c r="E49" s="5" t="str">
        <x:v>自然</x:v>
      </x:c>
      <x:c r="F49" s="5" t="str">
        <x:v>2026/9/28 15:32:45</x:v>
      </x:c>
      <x:c r="G49" s="5" t="str">
        <x:v>有效</x:v>
      </x:c>
      <x:c r="H49" s="5" t="str">
        <x:v>直接结论
大多数健康人增肌，选“浓缩乳清蛋白”或“分离乳清蛋白”即可，不必迷信水解乳清，也不必额外囤 BCAA。
•
预算有限、喝奶正常：浓缩乳清蛋白​
性价比高，一般每勺约20～25克蛋白质，适合日常补充。
•
怕胖、控热量、轻微乳糖不耐：分离乳清蛋白​
蛋白质比例更高、乳糖和脂肪更少，价格也更贵。
•
喝普通乳清容易腹胀、腹泻，且确认是乳糖问题：分离乳清​
若换成分离乳清仍不舒服，再考虑大豆、豌豆与大米蛋白混合的产品，或排查牛奶蛋白过敏。
•
肠胃特别敏感或严重乳糖不耐：水解乳清​
吸收通常更快，但价格最高，且不一定比普通乳清增肌更多。
•
纯素食者：大豆分离蛋白，或大豆＋豌豆/大米混合蛋白​
最好每餐摄入约 25～40克植物蛋白，并注意整日蛋白质总量和氨基酸互补。
按你的情况快速选
你的情况
更合适的选择
正常喝奶、主要想增肌
浓缩乳清
减脂增肌、控制热量
分离乳清
喝牛奶腹胀、腹泻
分离乳清或植物混合蛋白
牛奶蛋白过敏
不要选乳清/酪蛋白，选经确认的植物蛋白，并咨询医生
素食
大豆分离蛋白或多种植物蛋白组合
睡前加餐
无乳糖不适可喝一杯牛奶/酸奶；想用补剂可选慢消化酪蛋白，但不是必需
买的时候重点看标签
不要只看“乳清蛋白”四个字，优先选择：
1.
配料靠前的是乳清蛋白，而非植脂末、麦芽糊精、廉价大豆蛋白；
2.
每份蛋白质 ≥20克；
3.
额外添加糖、奶油粉、植脂末较少；
4.
有 第三方重金属及污染物检测；
5.
品牌、生产信息和保质期清晰。
怎么喝更有效
•
目标摄入量：每天每公斤体重约1.6～2.0克蛋白质，例如70公斤约112～140克；先算三餐，再从食物摄入中减去缺口。
•
蛋白粉只是补缺口，不是必须品；食物蛋白已经足够时，不用硬喝。
•
一次补充约 20～40克优质蛋白即可，训练后两小时内喝比较方便，但不必焦虑“黄金30分钟”。
•
增肌真正起作用的顺序是：渐进超负荷训练 ＞ 全天总热量和蛋白质 ＞ 训练一致性 ＞ 蛋白粉品牌。
如果你告诉我体重、每周训练次数、目前每天大概吃什么蛋白质，以及喝奶是否腹胀，我可以直接帮你计算还需要补多少蛋白粉。</x:v>
      </x:c>
      <x:c r="I49" s="5" t="str">
        <x:v>否</x:v>
      </x:c>
      <x:c r="J49" s="5" t="str"/>
      <x:c r="K49" s="5" t="str"/>
      <x:c r="L49" s="5" t="str"/>
      <x:c r="M49" s="5" t="str"/>
      <x:c r="N49" s="5" t="str">
        <x:v>类型建议或无品牌</x:v>
      </x:c>
      <x:c r="O49" s="5" t="str"/>
      <x:c r="P49" s="5" t="str"/>
      <x:c r="Q49" s="5" t="str"/>
      <x:c r="R49" s="5" t="str">
        <x:v>营养增肌吃什么蛋白粉好
分离,浓缩,水解这三种乳清蛋白有何区别
增肌减脂必看:每天该吃多少蛋白质?蛋白粉是 “必需品” 吗?
国际运动营养学会立场声明:蛋白质与运动
什麼是乳清蛋白?分離式､濃縮式､水解式差別與常見迷思破解
增肌期一天吃多少蛋白质
ISSN立场:必需氨基酸(EAA)对骨骼肌和表现的影响
医聊 秒懂饮食:补充蛋白质的乳清蛋白粉,该如何挑选?
增肌蛋白質完全指南:每天該吃多少､吃什麼､何時吃最有效?
每天需要多少蛋白質?科學建議與計算方法
不同健身人群怎么选蛋白粉?FoYes类型匹配不踩坑
增肌蛋白質攝取量怎麼算?5 秒學會簡單公式高蛋白食物懶人表
國際運動營養學會最新指南-蛋白質攝取和運動的 13 個觀點
乳清蛋白粉介绍
健身如何补充蛋白粉
International Society of Sports Nutrition position stand: Nutrient timing
分離乳清蛋白粉是什麼?從牛奶到高純度蛋白粉的來龍去脈
增肌每天需要摄入多少蛋白质</x:v>
      </x:c>
      <x:c r="S49" s="5" t="str">
        <x:v>https://health.baidu.com/m/detail/ar_6392779112245406888
https://health.baidu.com/m/detail/ar_6546941354119745592
http://mp.weixin.qq.com/s?__biz=MzkzNDg3OTk0MQ==&amp;mid=2247493903&amp;idx=1&amp;sn=80c0613f4a81e64dde79d5098aba7bcc&amp;chksm=c3fd2d54a6164abdf4c84bd87abed35db849fd5e3c57e79b8e1d57acb05048697ba27a3714e1#rd
http://mp.weixin.qq.com/s?__biz=MzU2MDcyMTcxOA==&amp;mid=2247487508&amp;idx=1&amp;sn=69a7a42a1831123f176cb6a742e55b19&amp;chksm=fd342c27c9c666256e9812272f032c6ba6362010c565f7265c512db2091c9c40e9e11df16e7b#rd
https://www.allin.taipei/zh-TW/blogs/concept/186164
https://m.bohe.cn/zxmip/1534560.html
http://mp.weixin.qq.com/s?__biz=MzU5MTY2MDA0Nw==&amp;mid=2247509689&amp;idx=1&amp;sn=7b7f02b19912e0c5873155cf0d1eca09&amp;chksm=ff4dbcbd2633951663f0914b445e7365146a79471de92087f1a494f03c1799c884b1843fbee9#rd
http://mp.weixin.qq.com/s?src=11&amp;timestamp=1790580749&amp;ver=6993&amp;signature=VoBRfN6sOBVkNVmrUYyabMoiczCL3EsK7Rd5VnZE-pI84MNblxgiIxO4sJrtyScA3-ksULQWU68VzwlU0GYr*Q4L5g3TTG04AvKCG5uIfnrcXQ*iBazjaKOtjX8CNt08&amp;new=1
https://nutruelifegood.com/?p=10117/
https://winsportsus.com/zh/guides/how-much-protein-per-day
https://www.cet.com.cn/wzsy/kjzx/cygdzx/10482339.shtml
https://ken.girlskintw.com/1989
https://www.pteam.com.tw/blogs/%E5%81%A5%E8%BA%AB%E7%A7%91%E5%AD%B8/118243
https://m.chemicalbook.com/SupplierNews_626022.htm
https://www.bohe.cn/zx/1606958.html
https://pmc.ncbi.nlm.nih.gov/articles/PMC2575187/
https://big5.china.com.cn/gate/big5/food.china.com.cn/2026-09/08/content_118685368.shtml
https://m.bohe.cn/zx/1383436.html</x:v>
      </x:c>
      <x:c r="T49" s="5" t="str">
        <x:v>health.baidu.com
health.baidu.com
mp.weixin.qq.com
mp.weixin.qq.com
www.allin.taipei
m.bohe.cn
mp.weixin.qq.com
mp.weixin.qq.com
nutruelifegood.com
winsportsus.com
www.cet.com.cn
ken.girlskintw.com
www.pteam.com.tw
m.chemicalbook.com
www.bohe.cn
pmc.ncbi.nlm.nih.gov
big5.china.com.cn
m.bohe.cn</x:v>
      </x:c>
      <x:c r="U49" s="5" t="str">
        <x:v>是</x:v>
      </x:c>
      <x:c r="V49" s="5" t="str"/>
      <x:c r="W49" s="5" t="str">
        <x:v>https://yuanbao.tencent.com/chat/naQivTmsDa/0Qnv85fm0rw</x:v>
      </x:c>
      <x:c r="X49" s="5" t="n">
        <x:v>18</x:v>
      </x:c>
      <x:c r="Y49" s="5" t="str">
        <x:v>否</x:v>
      </x:c>
    </x:row>
    <x:row r="50" ht="34" customHeight="1">
      <x:c r="A50" s="5" t="str">
        <x:v>Q9</x:v>
      </x:c>
      <x:c r="B50" s="5" t="str">
        <x:v>100元左右有什么蛋白粉推荐？</x:v>
      </x:c>
      <x:c r="C50" s="5" t="str">
        <x:v>购买推荐</x:v>
      </x:c>
      <x:c r="D50" s="5" t="str">
        <x:v>元宝</x:v>
      </x:c>
      <x:c r="E50" s="5" t="str">
        <x:v>自然</x:v>
      </x:c>
      <x:c r="F50" s="5" t="str">
        <x:v>2026/9/28 15:33:13</x:v>
      </x:c>
      <x:c r="G50" s="5" t="str">
        <x:v>有效</x:v>
      </x:c>
      <x:c r="H50" s="5" t="str">
        <x:v>结论
100元左右建议选“训练后补乳清蛋白”的国产品牌，不建议买老年营养粉或高价进口正装小罐。蛋白粉只是补充日常饮食缺口，最终效果取决于总蛋白质、训练量和整体饮食。
推荐顺序
1.
诺特兰德乳清蛋白 PRO
•
公开渠道常见 5磅约99元，单克价格很有优势。
•
选择“乳清蛋白粉”系列，不要买标题里只写“蛋白粉”、蛋白占比很低的产品。
•
优先买生产日期较新的正装，不买临期货。页面价格和评价机制变化较快，下单前核对实付价、净含量及保质期。
2.
健乐多乳清蛋白粉
•
约 99元/磅级包装，定位更偏向训练场景。
•
适合第一次买蛋白粉、不想直接开5磅桶的人。其常规版本通常为浓缩乳清路线，每30克约提供22.5克蛋白质；实际数值以具体口味标签为准。
3.
六星益生菌复合乳清蛋白
•
近期官方渠道出现过 3磅约38～48元、2磅约118～123元的临期或活动规格。
•
它的复合蛋白添加量通常只有约29%，其余配料包括麦芽糊精、异麦芽酮糖和益生菌等，因此更像“蛋白型运动营养粉”，不是高蛋白型纯乳清。
•
只在日期新鲜、日常会喝的前提下买。
购买时重点看
•
配料第一位最好是“浓缩乳清蛋白”“分离乳清蛋白”或两者。
•
不要只看“蛋白质80%”：如果是每100克，按30克冲服，实际只有约24克；同时注意是每100克还是每份。
•
普通训练后补充，浓缩乳清已经足够，不必多花钱追“分离、水解”。
•
乳糖不耐受，优先选择配料明确标注分离乳清的产品；容易腹胀，不要买临期大桶。
•
给父母、术后恢复或日常饮食很差的人，不能按健身蛋白粉思路直接替换正餐，应结合体重、肾功能和医生建议。
最稳妥的选择：先买健乐多1磅或诺特兰德小规格试口味和肠胃耐受；确认能坚持后再囤5磅装。大牌进口粉虽然体验通常更稳，但100元很难买到合适的大规格正品，不建议为了品牌牺牲净含量和日期。</x:v>
      </x:c>
      <x:c r="I50" s="5" t="str">
        <x:v>否</x:v>
      </x:c>
      <x:c r="J50" s="5" t="str"/>
      <x:c r="K50" s="5" t="str"/>
      <x:c r="L50" s="5" t="str"/>
      <x:c r="M50" s="5" t="str">
        <x:v>6星、诺特兰德、健乐多</x:v>
      </x:c>
      <x:c r="N50" s="5" t="str">
        <x:v>品牌提及/类型说明</x:v>
      </x:c>
      <x:c r="O50" s="5" t="str"/>
      <x:c r="P50" s="5" t="str"/>
      <x:c r="Q50" s="5" t="str"/>
      <x:c r="R50" s="5" t="str">
        <x:v>ON奥普帝蒙金标乳清蛋白粉 - 京东
Myprotein impact乳清蛋白粉 - 京东
诺特兰德乳清蛋白粉 - 天猫精选
平价增肌蛋白粉怎么挑!按预算分级认准纯乳清避开劣质坑
ON奥普帝蒙金标乳清蛋白粉 - 天猫精选
Myprotein impact乳清蛋白粉 - 淘宝精选
诺特兰德乳清蛋白粉 - 天猫精选
百元价位宝藏!元气码头乳清蛋白粉体验:高性价比的肌肉补给站!
会员日福利丨金标乳清568,周边限量加赠
MYPROTEIN中国官网 专业健身补剂 英国运动营养品牌 Myprotein CN
诺特兰德乳清蛋白粉 - 天猫精选
Swisse 斯维诗 乳清蛋白粉固体饮料200g 三口味99.77元包邮
【新口味上市】Impact 乳清蛋白粉 MyProtein CN
健身蛋白粉怎么选:10款产品按蛋白来源､数据口径和包装规格横向比较
临期白菜!Muscletech肌肉科技旗下,Six Star 六星 益生菌复合乳清蛋白粉7磅(3.18kg)新低79元包邮
ON OPTIMUM NUTRITION 奥普帝蒙 黄金标准 乳清蛋白粉 香草冰淇淋味 5磅
Impact乳清蛋白粉 - 草莓､樱花和北海道鲜奶口味 Myprotein CN
蛋白粉哪个牌子适合新手:先看一个反常识判断
天猫商城:CONBA 康恩贝 乳清蛋白粉 400g*2罐 赠摇摇杯 双重优惠后史低68元包邮 适合需要提高免疫力､健身人群
乳清蛋白粉哪个牌子好?把七款产品的官方标签摆在一起看
减脂蛋白粉怎么选 三步判断法避开参数误读
诺特兰德乳清蛋白固体饮料价格对比 450g
百元内蛋白粉哪个牌子更值得买?2026年蛋白粉热门榜,高性价比品牌推荐核心结论当下蛋白营养补充成为大众日常养生的主流选择,膳典冠与厚璞堂旗下多款蛋白粉均为国家正规蓝帽保健食品,原料甄选严苛､配方干净纯
国产蛋白粉不一定纯度越高越好,5款从复合配方到极致分离都有,买之前先看懂配方
纯乳清蛋白粉哪个牌子好
康比特官方旗舰店乳清蛋白粉 - 天猫精选
健乐多官方旗舰店乳清蛋白粉 - 京东
肌肉科技六星官方旗舰店乳清蛋白粉 - 天猫精选
如何为父母挑选合适的蛋白粉?从营养标签看主流产品评析
蛋白粉哪个牌子适合减脂?两类人群的需求对照与10款产品实测梳理
肌肉科技六星官方旗舰店乳清蛋白粉 - 天猫精选
老年人术后喝什么蛋白粉?
蛋白粉哪个品牌配料干净?10款产品配料表横向对比
肌肉科技六星官方旗舰店乳清蛋白粉 - 天猫精选
康比特 乳清蛋白质粉 750g 健身增肌 男女训练whey
康比特乳清蛋白粉-快懂百科
蛋白粉哪个牌子吸收好 先别急着看品牌,这3个判断步骤更实用
肌肉科技六星益生菌复合乳清蛋白粉【说明书】【配料表】【食用方法】</x:v>
      </x:c>
      <x:c r="S50" s="5" t="str">
        <x:v>https://union-click.jd.com/jdc?e=&amp;p=JF8BAS4JK1olXwMAVl9YCkIXC18IGlgVXAQHUV1cAUMSBF9MRANLAjZbERscSkAJHTdNTwcKBlMdBgABFksWAG8JGV4QXgcLXFtaFxJSXzI4R1JVAG1LDwY-WBMRBxBIfSIVOWNqAlJROE8RAGkMGloUXjYCVV9cCUIfCmcKK18TMwdsVFdYZkhAVDsNGgkUWlZSVV1fAEonA244WjUVWAELVlhYAXsWM28OE1oRVAcEUl1bDEonA2cMK4y889CO8orkopylgV84K1glbTYCZF1tViUWBGkLTlhBCGheEAQUUkxLAwEKHVoTVQ8FVm5fCUoVAV84K1x-JkdiASYrVBdudDpgWB5PJnpVIws9Wjt1dgtufjUXKnBUUSw0WhRDBSxdbCZvPmAyVG5eDkMeAV8JKw
https://union-click.jd.com/jdc?e=&amp;p=JF8BAS0JK1olXwQFUF9fDkMTBl8IGlocXg8CVF5UDUgUA19MRANLAjZbERscSkAJHTdNTwcKBlMdBgABFksWAmYLElsVXQ8HV11dFxJSXzI4cAMUB3pWBD4-cjVof21vUg1uGFNYElJROE8RAGkMGloUXjYCVV9cCUIfCmcKK18TMwdsVFdYZk4QAW5bGQsdVQILUw4JXU4nA244WjUVWAcCU1xZCnsWM28OE1oRVAcEUl1UD00nA2cMK4y889CO8orkopylgV84K1glbTYCZF1tViUXBG8NGAkdCGheEAQUUkxWUAEKHVsQXwIAUm5fCUoVAV84KyBBLwRlHCNVQDkWfQ1XGwtWGAZDEAdccTZyVi4NdVlcD11BUB0YYzBlYzNpGyNGKDYCZF1bAEIVM244
https://s.click.taobao.com/t?e=m%3D2%26s%3DTJSEk116j%2FRw4vFB6t2Z2ueEDrYVVa64yK8Cckff7TVRAdhuF14FMdlxEggQySSF8sviUM61dt2bBjBh3LodcDtMDMUFdHxsEga%2Bn4dNFSFW2RGh2%2FLyNYVwhIsr1DlAgb9ZeSZXs4rQ5thPdhAOVM0oF5lwuXqpYWv52jgYn52c9P5r0iVyqpex6l0Ihz38vA8xY08Sug1gjsKf5mo5PosdPva9duE62tMHJJgEA595xNf0vQ1gVe%2BKV6JEW8x3ppipkbwBvRGBoVjdP6l8JepWDv3jK62scSpj5qSCmbA%3D&amp;union_lens=lensId:TAPI@1790580772@212cb236_1e3a_1a0e6ee5009_82dc@01
https://h5detail.yiyouliao.com/rivers/newsfeed/1536235174142947329/ID2BHQU87O8Z8TF.html
https://s.click.taobao.com/t?e=m%3D2%26s%3DMR%2F%2BlaeXgzBw4vFB6t2Z2ueEDrYVVa64yK8Cckff7TVRAdhuF14FMdlxEggQySSF8sviUM61dt2bBjBh3LodcDtMDMUFdHxsEga%2Bn4dNFSFW2RGh2%2FLyNYVwhIsr1DlAgb9ZeSZXs4rQ5thPdhAOVHixjRXQNwPvfmz0tGK%2FxcWcfoikzFV8hPRIbDRIDfUhXpYhEvRoMmvhX%2FSKBXgllWkcqCYHzkEA9IN74pafJWZ5xNf0vQ1gVakPlfdK0nXOhYuFeSgaZjI40Y%2B1PqQp%2B00CgGlyvWO4Ptrd7W%2FA84gMlu5kMKse3g%3D%3D&amp;union_lens=lensId:TAPI@1790580772@212abcc5_14de_1a0e6ee4fc4_a08a@01
https://uland.taobao.com/item/edetail?id=gZvNjqWs3t2W2Gx6ZqUrYswCr-V5nAMaCk440vqybsgJ
https://s.click.taobao.com/t?e=m%3D2%26s%3D2CUZTnReLi1w4vFB6t2Z2ueEDrYVVa64yK8Cckff7TVRAdhuF14FMdlxEggQySSF8sviUM61dt2bBjBh3LodcDtMDMUFdHxsEga%2Bn4dNFSFW2RGh2%2FLyNYVwhIsr1DlAgb9ZeSZXs4rQ5thPdhAOVO4RA7M5EmX0rccCyN7uwFyFHlTpGyr1MjTAB%2B%2BUyY2i7UwKlo4Djwk0ETKov%2BwGjYvidz8gk2UW4JHAl5dGexCq9cGXHsX5nxcvDvESyFGz1pA6x3kzfM8waLo6v8KOjhTH%2FHzA%2BxNj6lYO%2FeMrraxxKmPmpIKZsA%3D%3D&amp;union_lens=lensId:TAPI@1790580772@21055d7c_142d_1a0e6ee4fe7_31de@01
https://post.m.smzdm.com/p/a34z9ddk/
http://mp.weixin.qq.com/s?__biz=MzI1NjYzMzQwNg==&amp;mid=2247507267&amp;idx=1&amp;sn=852f2e634b2bbd275affd8eb8afb04e0&amp;chksm=ebc3534d1e6a744d475a0c13dc0b670e87afdbd37309e34500a1e0e355cb0d403431ae8b95d7#rd
https://www.myprotein.cn/?affil=awin&amp;utm_content=Codes.co.uk&amp;utm_term=&amp;utm_source=AWin_509365&amp;utm_medium=affiliate&amp;utm_campaign=AffiliateWin&amp;sv1=affiliate&amp;sv_campaign_id=509365&amp;awc=10751_1788497205_b479d5f7139a6fe651cf2d3c0de7b752
https://s.click.taobao.com/t?e=m%3D2%26s%3DhsDBXPxVvEpw4vFB6t2Z2ueEDrYVVa64yK8Cckff7TVRAdhuF14FMdlxEggQySSF8sviUM61dt2bBjBh3LodcDtMDMUFdHxsEga%2Bn4dNFSFW2RGh2%2FLyNYVwhIsr1DlAgb9ZeSZXs4qJL8TnrUE2Xxzx2djmbeu7Qk1YT2sdmUaLK1v4ejd%2BwiSInGmjRAgaei%2Bm9HM1DUG7sXz3jztj2eKszKw%2Bca9OBP12OwZeE5A%2B2t3tb8DziH%2BXBxFhCZD7zkAkgiDFZP3C7ZHQlBwb9TEjA%2F7WxLd2z7kIoLgQmZQhhQs2DjqgEA%3D%3D&amp;union_lens=lensId:TAPI@1790580772@2104a538_1490_1a0e6ee4fee_8137@01
https://www.baicaio.com/item/983117.html
https://www.myprotein.cn/p/sports-nutrition/impact-powder/10530943/
http://zkxww.com/news/zhzx/2026-09-15/417043.html
https://www.baicaio.com/item/991950.html
https://m.smzdm.com/p/181692654
https://www.myprotein.cn/p/sports-nutrition/impact-whey-protein-strawberry-sakura-hokkaido-milk/13540514/
https://www.yszyapp.cn/p/132066.html
https://www.babaicai.com/?p=301236
https://www.snjrmtzx.cn/p/99252.html
https://wap.hbystf.cn/p/65459.html
https://www.315jiage.cn/mn448308.aspx
https://post.m.smzdm.com/zz/p/a5r7p948
https://www.miaoshou.com/news/8769v1lj6gK0eKNg.html
http://www.dahenews.cn/dhnews/391248332.html
https://s.click.taobao.com/t?e=m%3D2%26s%3DCxy6LACb9bdw4vFB6t2Z2ueEDrYVVa64yK8Cckff7TVRAdhuF14FMdlxEggQySSFMMgx22UI05abBjBh3LodcDtMDMUFdHxsEga%2Bn4dNFSFW2RGh2%2FLyNYVwhIsr1DlAgb9ZeSZXs4rC7WlrT9%2B1KgdquPfXsvu8bQswuMQxC9qWb4x1Ndjr0fRaMgXJ83lqZzhXN3THxY8RtuqGosxaiXbJIxQw0Ia%2FjRQCyqJAl4bqVg794yutrPOzWC2bTklhBbVlol8NOYvAv%2FlYwpKj5iPDVdlpgtTromfkDJRs%2BhU%3D&amp;union_lens=lensId:TAPI@1790580778@2166fd3e_13e0_1a0e6ee67f4_caed@01
https://union-click.jd.com/jdc?e=&amp;p=JF8BAS4JK1olWAYHUFlVCksQB18IGlgXWAILU1xeCUkWAl9MRANLAjZbERscSkAJHTdNTwcKBlMdBgABFksWAG0NH1ISXwUDVl9cFxJSXzI4ZxNANH9eFgg-SRtLeg5YSCt2VXxWJFJROE8RAGkMGloUXjYCVV9cCUIfCmcKK18TMwdsVFdYZhgUBWYJGg4dXQ5SBg0KWEsnA244WjUVXw4FV1lcAXsWM28OE1oRVAcEUlZcC0snA2cMK4y889CO8orkopylgV84K1glbTYCZF1tViUWBGkLTA9FXWheEAQUUhhBBAEKHVodWwQLXG5fCUoVAV84KyNUWGRDPx4kDyJgYwRqGyAUXnEFNDUnCRdldD1wHjUXInoCUA0LCRdhBhBbexNvX1oyVG5eDkMeAV8JKw
https://s.click.taobao.com/t?e=m%3D2%26s%3DJjfsySVCPRlw4vFB6t2Z2ueEDrYVVa64yK8Cckff7TVRAdhuF14FMdlxEggQySSF79%2FTFaMDK6SbBjBh3LodcDtMDMUFdHxsEga%2Bn4dNFSFW2RGh2%2FLyNYVwhIsr1DlAgb9ZeSZXs4rQ5thPdhAOVBwOrfn%2BXzZpjw3IlOMEKsmMHuv7RoNv0Q0jFsbsQ7KWi%2FslNeW9iEk11zs4ui08Cp7koJeB7pz%2BDRMFpVg3h2mwK%2FdZd%2Fi%2F0I5w2h%2FAtVVkecTX9L0NYFWpD5X3StJ1ztOG7fwodBwmRBUJzMFU87gsYy2tjlrUTmz%2Bq5ci9Da0z7kIoLgQmZQhhQs2DjqgEA%3D%3D&amp;union_lens=lensId:TAPI@1790580779@213f7a7d_144e_1a0e6ee6860_3e0a@01
https://www.toutiao.com/article/7689278607520301602/
http://zkxww.com/news/zhzx/2026-09-15/417045.html
https://s.click.taobao.com/t?e=m%3D2%26s%3DwLuz9mzF861w4vFB6t2Z2ueEDrYVVa64yK8Cckff7TVRAdhuF14FMdlxEggQySSF79%2FTFaMDK6SbBjBh3LodcDtMDMUFdHxsEga%2Bn4dNFSFW2RGh2%2FLyNYVwhIsr1DlAgb9ZeSZXs4o9VpqBMNLSmBEkRKjYI9uegRbTZRyk9%2BtWzwQ9p2z6OhrYHvjuO7V%2BRhwY59FRMbZkvEGO2s9Mg2fI65GvYitISpniQMFu9jzqVg794yutrFy3JHI0C0w649q2RkLauZjAv%2FlYwpKj5iPDVdlpgtTromfkDJRs%2BhU%3D&amp;union_lens=lensId:TAPI@1790580779@2106cd74_1419_1a0e6ee6887_b8f7@01&amp;skuId=6300084819098
https://www.cet.com.cn/wzsy/cyzx/10560932.shtml
https://www.miaoshou.com/news/p7y8dDrPZ45JejPr.html
https://uland.taobao.com/item/edetail?id=Dr53Wa3hDt52z5rO69S0dSyUn-B6odnDCZZYmNOnXHD8
https://www.quanmama.com/news/2113806.html
https://www.baike.com/wikiid/2512022935910899253
https://wap.hbystf.cn/p/65460.html
http://mp.weixin.qq.com/s?__biz=Mzk3NTIyMzIwNA==&amp;mid=2247487019&amp;idx=1&amp;sn=4b30625973406065ab3537ccabc7cb8f&amp;chksm=c5633a4a0e5693223e7267bb4381a736b2c81d59837ace6b4e2172bf23d0c9aedc6a26110dad#rd</x:v>
      </x:c>
      <x:c r="T50" s="5" t="str">
        <x:v>union-click.jd.com
union-click.jd.com
s.click.taobao.com
h5detail.yiyouliao.com
s.click.taobao.com
uland.taobao.com
s.click.taobao.com
post.m.smzdm.com
mp.weixin.qq.com
www.myprotein.cn
s.click.taobao.com
www.baicaio.com
www.myprotein.cn
zkxww.com
www.baicaio.com
m.smzdm.com
www.myprotein.cn
www.yszyapp.cn
www.babaicai.com
www.snjrmtzx.cn
wap.hbystf.cn
www.315jiage.cn
post.m.smzdm.com
www.miaoshou.com
www.dahenews.cn
s.click.taobao.com
union-click.jd.com
s.click.taobao.com
www.toutiao.com
zkxww.com
s.click.taobao.com
www.cet.com.cn
www.miaoshou.com
uland.taobao.com
www.quanmama.com
www.baike.com
wap.hbystf.cn
mp.weixin.qq.com</x:v>
      </x:c>
      <x:c r="U50" s="5" t="str">
        <x:v>是</x:v>
      </x:c>
      <x:c r="V50" s="5" t="str"/>
      <x:c r="W50" s="5" t="str">
        <x:v>https://yuanbao.tencent.com/chat/naQivTmsDa/0Qnv9hI7tBo</x:v>
      </x:c>
      <x:c r="X50" s="5" t="n">
        <x:v>38</x:v>
      </x:c>
      <x:c r="Y50" s="5" t="str">
        <x:v>否</x:v>
      </x:c>
    </x:row>
    <x:row r="51" ht="34" customHeight="1">
      <x:c r="A51" s="5" t="str">
        <x:v>Q10</x:v>
      </x:c>
      <x:c r="B51" s="5" t="str">
        <x:v>性价比高的蛋白粉有哪些？</x:v>
      </x:c>
      <x:c r="C51" s="5" t="str">
        <x:v>购买推荐</x:v>
      </x:c>
      <x:c r="D51" s="5" t="str">
        <x:v>元宝</x:v>
      </x:c>
      <x:c r="E51" s="5" t="str">
        <x:v>自然</x:v>
      </x:c>
      <x:c r="F51" s="5" t="str">
        <x:v>2026/9/28 15:34:19</x:v>
      </x:c>
      <x:c r="G51" s="5" t="str">
        <x:v>有效</x:v>
      </x:c>
      <x:c r="H51" s="5" t="str">
        <x:v>先说结论
日常增肌、预算优先：选正规品牌的浓缩乳清蛋白。​
乳糖不耐受、减脂期或想控制碳水：选分离乳清蛋白。​
不要只看整罐价格，要用：
每克蛋白质成本＝到手价 ÷（净含量 × 蛋白质含量）
例如：900克装、蛋白质含量80%，可获得720克蛋白质；若到手价360元，则约为 0.5元/克蛋白质。
高性价比选择
需求
建议方向
选择理由
健身增肌、预算有限
浓缩乳清蛋白​
蛋白质通常70%～80%，价格最低，适合肠胃正常的人
减脂期、低碳水
分离乳清蛋白​
蛋白质通常80%以上，脂肪和乳糖更低，但价格更高
乳糖不耐受
0乳糖分离乳清​
通常比浓缩乳清耐受性更好
完全不吃乳制品
大豆分离蛋白，或豌豆＋大米蛋白复配​
无乳糖；最好选复合植物蛋白，氨基酸更完整
中老年日常补充
蛋白质含量≥70%的乳清或双蛋白粉​
重点看配料、糖分和溶解性，不必追求进口品牌
消化很弱
水解乳清​
预先部分分解，但价格通常最高，健康人未必更增肌
具体购买思路
1. 优先大包装，但不要囤到过期
可重点比较：
•
康比特：国产大包装乳清产品较多，促销时每克蛋白质成本通常较有优势
•
Myprotein：浓缩乳清常有大袋装活动，口味选择多；但不同地区和口味营养值可能有差异，以罐身标签为准
•
赛霸：主打分离乳清，关注大规格装和活动价
•
ON金标乳清：配方成熟、口味稳定，但非大促时通常不算最便宜
•
Dymatize ISO100、ON分离乳清：产品路线更纯，但主要支付品牌、分离工艺和风味成本
其中，Myprotein中国官网的Impact分离乳清标示每份蛋白质约22～23克，整体蛋白质含量约90%，但不同口味会有差异。
ON金标每份通常约提供24克蛋白质、5.5克天然支链氨基酸，属于浓缩、分离与水解乳清的复合路线。
2. 不必盲目追求95%以上纯度
对大多数健康健身者，每勺蛋白质够、价格合适、喝得下去比标称纯度更重要。分离乳清去除更多乳糖和脂肪，但健康人用于增肌，与浓缩乳清的实际差异有限。
避坑清单
1.
配料表第一位是糖、葡萄糖或麦芽糊精：通常不是纯蛋白粉。
2.
蛋白质含量低于50%：大概率是增肌粉或普通营养粉。
3.
写着“乳清蛋白”，却主要添加胶原蛋白肽：胶原蛋白不能替代完整乳清蛋白，必需氨基酸和亮氨酸相对较低。
4.
小包装按克折算很贵：尤其独立条装，单价往往更高。
5.
促销价波动大：先用“每克蛋白质成本”比较，不要直接比较900克和5磅的价格。
6.
夸大宣传要警惕：如“喝蛋白粉一定伤肾”“完全不伤肠胃”“吃蛋白粉就能增肌”，都不严谨。
更实际的建议
•
普通健身者：优先找每克蛋白质约0.4～0.6元的大包装乳清粉；低于0.4元要重点核对蛋白质和配料，高于0.8元则更适合作为特殊需求购买。
•
每次补充 20～30克蛋白质即可，不需要一次喝50克。
•
蛋白粉只能填补饮食缺口，不能代替肉、蛋、奶、豆制品和正常训练。
•
如果喝完持续腹胀、腹泻，应考虑乳糖不耐受，换分离乳清或植物蛋白；若本身有慢性肾病、肝功能异常或正在特殊治疗，先咨询医生或临床营养师。</x:v>
      </x:c>
      <x:c r="I51" s="5" t="str">
        <x:v>否</x:v>
      </x:c>
      <x:c r="J51" s="5" t="str"/>
      <x:c r="K51" s="5" t="str"/>
      <x:c r="L51" s="5" t="str"/>
      <x:c r="M51" s="5" t="str">
        <x:v>赛霸/小赛同学、康比特、Myprotein、ON/欧普特蒙、狄马泰斯</x:v>
      </x:c>
      <x:c r="N51" s="5" t="str">
        <x:v>品牌提及/类型说明</x:v>
      </x:c>
      <x:c r="O51" s="5" t="str"/>
      <x:c r="P51" s="5" t="str"/>
      <x:c r="Q51" s="5" t="str"/>
      <x:c r="R51" s="5" t="str">
        <x:v>2026健身党蛋白粉哪个牌子好?新手蛋白粉选购攻略实测解析
纯乳清蛋白粉哪个牌子好
蛋白粉吸收速度怎么排?先分清四种蛋白形态
术后康复期蛋白质补充剂相关信息整理
不同健身人群怎么选蛋白粉?FoYes类型匹配不踩坑
十大高性价比蛋白粉:蛋白占比高､杂质少､单克蛋白成本低,健身日常补蛋白都合适
2026蛋白粉选购攻略核心解析:国产蛋白粉哪个牌子好?
不同类型蛋白粉品牌对比:乳清蛋白､酪蛋白､植物蛋白怎么选?
2026年蛋白粉品牌综合口碑评选,从价格到配方,信息整理清晰直观
一份分离乳清蛋白粉值不值得买?十个品牌完整拆解
健身吃什么蛋白粉好
2026年蛋白粉哪个牌子好?盘点十款高性价比蛋白粉品牌测评
蛋白质粉买什么牌子好?六个品牌按每份蛋白质统一比较
蛋白粉伤肝肾､是激素?这些谣言该停了
性价比高的蛋白粉牌子有哪些?2026蛋白粉品牌实测推荐
2026年中老年蛋白粉资料整理:九款产品六项指标一表看懂
【科普】读懂标签,科学选购蛋白粉
不同类型蛋白粉怎么选?乳清､分离､水解､酪蛋白､植物蛋白介绍
每天一勺蛋白粉,真的能提高免疫力吗?
Myprotein Impact Whey Isolate - 京东
ON 奥普帝蒙 金标乳清蛋白 - 淘宝精选
康比特 炽金乳清蛋白 - 淘宝精选
赛霸 分离乳清蛋白 - 天猫精选
蛋白粉哪个牌子好又靠谱?2026五款主流品牌核心数据分析
ON 奥普帝蒙 金标乳清蛋白 - 淘宝精选
康比特 炽金乳清蛋白 - 淘宝精选
赛霸 分离乳清蛋白 - 京东
Impact分离乳清蛋白粉 MyProtein CN
ON 奥普帝蒙 金标乳清蛋白 - 天猫精选
康比特/CPT
2026年热门蛋白粉横评:统一每份蛋白质口径后再看排名
Myprotein Impact Whey Isolate - Batch Tested Range Myprotein BA
CPT 康比特 炽金系列 乳清蛋白粉 百香果酸奶味 5磅
乳清蛋白粉热门品牌盘点:不同配方分别解决什么需求
蛋白粉产品信息梳理
哪个品牌的蛋白粉比较好?从需求确认到品牌核对的完整流程</x:v>
      </x:c>
      <x:c r="S51" s="5" t="str">
        <x:v>http://mp.weixin.qq.com/s?src=11&amp;timestamp=1790580800&amp;ver=6993&amp;signature=8eQbbcth87ffcGw2bJuw9q1PzNgXE6WNWohWrNIKlxJLQFxAoop2SAkX-MjG5hhA*Ii5h-swwyVsWYTw5MqE0bGgK7nhWB4K-UaNE7j3t*-hkx88hmzvdaAX6NNgRGmW&amp;new=1
http://www.dahenews.cn/dhnews/391248332.html
https://www.yilianmeiti.com/article/2984990.html
https://m.99.com.cn/a/2659751
https://www.cet.com.cn/wzsy/kjzx/cygdzx/10482339.shtml
https://www.yszyapp.cn/p/126940.html
http://mp.weixin.qq.com/s?src=11&amp;timestamp=1790580800&amp;ver=6993&amp;signature=8eQbbcth87ffcGw2bJuw9q1PzNgXE6WNWohWrNIKlxKdnXqCJtTuvuL9Y-gFgf4rzuLVU685DaLXFfr-zywzC6QWUl9k0FZmAUepbu-*YnkD7nZ0MmReRhh3SxXQJvkA&amp;new=1
https://m.zgxy.gov.cn/p/150024.html
https://m.toutiao.com/article/7657440127006605870
https://m.miaoshou.com/news/yrkpbJqVeWp02qOA.html
https://www.pingguolv.com/ask/HnFK77IKHI77.html
http://mp.weixin.qq.com/s?src=11&amp;timestamp=1790580800&amp;ver=6993&amp;signature=5KAB2DNIbJOXiCmWMxbjv9O-HDsycJVbxRblrDcNbcKR8fhLlSQStrM3BkkSdhYZ*rHo1GNxj0NkDSljoAnHbjHml-jSis0w9IZrFXnZCRWWqgPjTYlLY-jIL*4bqZYv&amp;new=1
http://mp.weixin.qq.com/s?src=11&amp;timestamp=1790580800&amp;ver=6993&amp;signature=XcZnCZlqsDiihm7tWERPfJELb*6sjb-26dVt9Yhhec7DloCq71ZpjChzd9Uap6tBTYHHJqInx-4GTJBvdi8GuOgCDLT19yp*cws3-Q0HbbguwPoGuUoKU*jDzVC7X6-r&amp;new=1
https://cloud.kepuchina.cn/h5/detail?id=7477807983750352896
http://mp.weixin.qq.com/s?src=11&amp;timestamp=1790580800&amp;ver=6993&amp;signature=RyY7Igeotz22BFf1-PvboK7NEfLJv-UbDZNUJIzJgEcyFF4UqT23A*G81qrwWHiK3Tpvl2Yz7cHwtco0PzdQLQiZ-zshzfsoT1cxIfEM9F-8V8xeYsVWK-Br7KvZ0Awj&amp;new=1
https://www.cet.com.cn/xwsd/10557727.shtml
http://mp.weixin.qq.com/s?__biz=MzA3NDY2OTEyMQ==&amp;mid=2247498739&amp;idx=7&amp;sn=8aa2404fd3a76d7642c6fb084cb5911a&amp;chksm=9ef7bc2505586a8654a49728bf0ff65f09b712fd01e918082cd6df0cda532f8c247f8023e525#rd
https://m.zgxy.gov.cn/p/150154.html
https://wsjkw.sh.gov.cn/spwsyyy/20260904/f62140b58948436c81f6f5a39547c066.html
https://union-click.jd.com/jdc?e=&amp;p=JF8BAS0JK1olXwQFUF9fDkMTBl8IGlocXg8CVF5UDUgUB19MRANLAjZbERscSkAJHTdNTwcKBlMdBgABFksWAmYLElsVXQ8HV11ZFxJSXzI4aCVCQ38CNiU_UBdIVRpoBTpyImQFElJROE8RAGkMGloUXjYCVV9cCUIfCmcKK18TMwdsVFdYZk4RCmgJG10TX1UAVQ0NWkonA244WjUVWAcCU1xZCnsWM28OE1oRVAcLVVtVDkknA2cMK4y889CO8orkopylgV84K1glbTYCZF1tViUWBGkLTlhBDmheEAQUUgxBSwEKHVodVAMDUW5fCUoVAV84K1hzVFQAIQEnCS9WdGZWUi1zH2dUFgNdTzgReBlodVlWGFR_IAoJbBJwXy14TFNNCDYCZF1bAEIVM244
https://s.click.taobao.com/t?e=m%3D2%26s%3D%2Bb62WCH9wxNw4vFB6t2Z2ueEDrYVVa64XoO8tOebS%2BdRAdhuF14FMUXuSP4EMkh3xq3IhSJN6GSbBjBh3LodcDtMDMUFdHxsEga%2Bn4dNFSFW2RGh2%2FLyNYVwhIsr1DlAgb9ZeSZXs4p6AaWv4QFbz0jnuPRLo79B9oGpc2Y%2F7FodIRweR8Yc%2Bg%2BhMMuZgEIn4nSPzjzSj4rjQRZmocJQSnqXVPO5eod4PoQbF8li6fIVr3VYARrszU3O4wtQ3K90iOtVFdLEuAxeY8xJoCUo4z7a3e1vwPOIDJbuZDCrHt4%3D&amp;union_lens=lensId:TAPI@1790580804@213e71e2_1476_1a0e6eecd53_1526@01&amp;skuId=6139955776613
https://s.click.taobao.com/t?e=m%3D2%26s%3D0wU2QOMkWKVw4vFB6t2Z2ueEDrYVVa64XoO8tOebS%2BdRAdhuF14FMUXuSP4EMkh35x%2BIUlGKNpWbBjBh3LodcDtMDMUFdHxsEga%2Bn4dNFSFW2RGh2%2FLyNYVwhIsr1DlAgb9ZeSZXs4rQ5thPdhAOVNFN7tfu7PQXWE7CRHxT4CWMHuv7RoNv0Q0jFsbsQ7KWAp4GenlBb1HS%2BEm9dF1EdYuPKio8AT9Wj0tTgkPT4yxmOC3c12xPstvVQIXimENSecTX9L0NYFWpD5X3StJ1ztOG7fwodBwmyLcL%2BJGkQc%2FUW%2FzJIkJMA2gxKdFIuJhiz7kIoLgQmZQhhQs2DjqgEA%3D%3D&amp;union_lens=lensId:TAPI@1790580805@0b5dcb60_1479_1a0e6eecdbd_7109@01
https://s.click.taobao.com/t?e=m%3D2%26s%3Dlz96Sw2Zvj1w4vFB6t2Z2ueEDrYVVa64yK8Cckff7TVRAdhuF14FMUXuSP4EMkh35x%2BIUlGKNpWbBjBh3LodcDtMDMUFdHxsEga%2Bn4dNFSFW2RGh2%2FLyNYVwhIsr1DlAgb9ZeSZXs4qJL8TnrUE2Xxzx2djmbeu7FdySDq37c87QVTorDkVJishA68lv5eQc9eZqNkvt2tgupxlHNB848q9wjbkhDy0NLha2JXVfAaeAenUVNk7Ws9kYvQZuIwx3Zu%2F333StsyuuvdsgcLLCJBng2%2Bpi1pI0ewMs64pmc8rGDmntuH4VtA%3D%3D&amp;union_lens=lensId:TAPI@1790580805@21666f14_145b_1a0e6eecdd9_1990@01&amp;skuId=6108650552615
https://www.cet.com.cn/wzsy/kjzx/10537923.shtml
https://s.click.taobao.com/t?e=m%3D2%26s%3DyJCEol9LL7dw4vFB6t2Z2ueEDrYVVa64XoO8tOebS%2BdRAdhuF14FMUXuSP4EMkh3xq3IhSJN6GSbBjBh3LodcDtMDMUFdHxsEga%2Bn4dNFSFW2RGh2%2FLyNYVwhIsr1DlAgb9ZeSZXs4q7MTICF4Ln1njL5HCsvLp2YIxgu4k6%2BVGAD7ErwU3qaCit9hOpHoFxoXtNFJTfN%2FlsL%2FqSyuyRDbSDuRmkSZaLPoQbF8li6fIVr3VYARrszU3O4wtQ3K90Jq4KkPzJO2tlzIXWxbgO2T7a3e1vwPOIDJbuZDCrHt4%3D&amp;union_lens=lensId:TAPI@1790580804@21055d7c_142d_1a0e6eecd5c_3743@01&amp;skuId=5812325286827
https://s.click.taobao.com/t?e=m%3D2%26s%3Dp0L5gmoehNBw4vFB6t2Z2ueEDrYVVa64XoO8tOebS%2BdRAdhuF14FMUXuSP4EMkh35x%2BIUlGKNpWbBjBh3LodcDtMDMUFdHxsEga%2Bn4dNFSFW2RGh2%2FLyNYVwhIsr1DlAgb9ZeSZXs4qp1xStp6%2F2HQhsvbJUoGmbI%2B3%2BkCbU36x5vTXoX0njpcI8Fttxot%2FDBcoWkVAIq2Vp4UeD4ayD8t8fs0EH2N2fSzWNof4awibqVg794yutrPo5F0kkO369%2B%2BG32P6o%2BlsUwKMsvWj7aROGhEUGHWZ8&amp;union_lens=lensId:TAPI@1790580805@2104ad37_1491_1a0e6eecdca_a41c@01&amp;skuId=5158396133748
https://union-click.jd.com/jdc?e=&amp;p=JF8BAS4JK1olWAYFUFtaCEkUBl8IGlgXXgALVVZYDEwVA19MRANLAjZbERscSkAJHTdNTwcKBlMdBgABFksWAG0LHVIUVQMGU1xdFxJSXzI4GzxiJHwBECo4VRcQczhvYwxBNEAYAlJROE8RAGkMGloUXjYCVV9cCUIfCmcKK18TMwdsVFdYZhkUVzwLG10SVFYGV1laW00nA244WjUVXgIEUl1YAHsWM28OE1oRVAcLVVtVAE0nA2cMK4y889CO8orkopylgV84K1glbTYCZF1tViUWUGcNGFgTX2heEAQUUgxOSAEKHVsRXwQDXG5fCUoVAV84Kx1lPXNRISxbYy1lRRprSwtGJ3p6Eis-D08TWRRXezUXBVh-VywdDwxkZidSTz5TAmQyVG5eDkMeAV8JKw
https://www.myprotein.cn/sports-nutrition/myprotein-impact-whey-protein-isolate-vanilla-500g/13442785.html
https://s.click.taobao.com/t?e=m%3D2%26s%3DW4FFI3EeoyZw4vFB6t2Z2ueEDrYVVa64yK8Cckff7TVRAdhuF14FMUXuSP4EMkh35x%2BIUlGKNpWbBjBh3LodcDtMDMUFdHxsEga%2Bn4dNFSFW2RGh2%2FLyNYVwhIsr1DlAgb9ZeSZXs4rQ5thPdhAOVDmD7vwwi3xOlMRPlM7klgfbL1m5DpzINf2IhZQF5wa22x5eiokfgMo%2BhNsEJzDyuL9TTBcQnIfqIRpoEqJcpT%2F06ZUwfAlYFA6jil%2FEfrmTbkoc5A4PXY56pLaHlJEMxBJNjEMpYL1oPtrd7W%2FA84gMlu5kMKse3g%3D%3D&amp;union_lens=lensId:TAPI@1790580805@21666f14_145b_1a0e6eecdd9_198f@01
https://zhi.xinxin618.cn/brand.htm?id=2234
http://mp.weixin.qq.com/s?src=11&amp;timestamp=1790580805&amp;ver=6993&amp;signature=mhC-ALTRGmo6tYJL4mTuWfBmvlx7x4jwUtCBlPU-RPAKNhoio-4LMEBsN-AC4CAXFzoAgCIjupo6GUUHKZsb7vZuMIa*DbDzXS*XqKD3dPLZ7gqqCJR82fvUh0aa21on&amp;new=1
https://www.myprotein.ba/p/sports-nutrition/myprotein-impact-whey-isolate-batch-tested-range/10872834
https://wiki.smzdm.com/p/qrx4dqd/canshu/
https://www.yszyapp.cn/p/135134.html
https://m.zgxy.gov.cn/p/150285.html
http://www.xnnews.com.cn/kejiao/kjqy/202609/t20260926_5511223.shtml</x:v>
      </x:c>
      <x:c r="T51" s="5" t="str">
        <x:v>mp.weixin.qq.com
www.dahenews.cn
www.yilianmeiti.com
m.99.com.cn
www.cet.com.cn
www.yszyapp.cn
mp.weixin.qq.com
m.zgxy.gov.cn
m.toutiao.com
m.miaoshou.com
www.pingguolv.com
mp.weixin.qq.com
mp.weixin.qq.com
cloud.kepuchina.cn
mp.weixin.qq.com
www.cet.com.cn
mp.weixin.qq.com
m.zgxy.gov.cn
wsjkw.sh.gov.cn
union-click.jd.com
s.click.taobao.com
s.click.taobao.com
s.click.taobao.com
www.cet.com.cn
s.click.taobao.com
s.click.taobao.com
union-click.jd.com
www.myprotein.cn
s.click.taobao.com
zhi.xinxin618.cn
mp.weixin.qq.com
www.myprotein.ba
wiki.smzdm.com
www.yszyapp.cn
m.zgxy.gov.cn
www.xnnews.com.cn</x:v>
      </x:c>
      <x:c r="U51" s="5" t="str">
        <x:v>是</x:v>
      </x:c>
      <x:c r="V51" s="5" t="str"/>
      <x:c r="W51" s="5" t="str">
        <x:v>https://yuanbao.tencent.com/chat/naQivTmsDa/0QnvBmB9Jw0</x:v>
      </x:c>
      <x:c r="X51" s="5" t="n">
        <x:v>36</x:v>
      </x:c>
      <x:c r="Y51" s="5" t="str">
        <x:v>否</x:v>
      </x:c>
    </x:row>
    <x:row r="52" ht="34" customHeight="1">
      <x:c r="A52" s="5" t="str">
        <x:v>Q11</x:v>
      </x:c>
      <x:c r="B52" s="5" t="str">
        <x:v>国产蛋白粉哪个牌子值得买？</x:v>
      </x:c>
      <x:c r="C52" s="5" t="str">
        <x:v>购买推荐</x:v>
      </x:c>
      <x:c r="D52" s="5" t="str">
        <x:v>元宝</x:v>
      </x:c>
      <x:c r="E52" s="5" t="str">
        <x:v>自然</x:v>
      </x:c>
      <x:c r="F52" s="5" t="str">
        <x:v>2026/9/28 15:35:05</x:v>
      </x:c>
      <x:c r="G52" s="5" t="str">
        <x:v>有效</x:v>
      </x:c>
      <x:c r="H52" s="5" t="str">
        <x:v>直接结论
如果只是健身、增肌或日常补蛋白，优先选康比特的分离乳清蛋白粉；如果是给中老年人、饮食单调或消化一般的人补营养，汤臣倍健经典蛋白粉更稳妥。
推荐清单
使用场景
推荐产品
主要特点
选购提醒
健身增肌、控脂首选​
康比特分离乳清蛋白粉​
产品资料显示约 88g蛋白质/100g，脂肪和碳水较低，配料主体清楚
只选“分离乳清”，不要和浓缩乳清、增肌粉混买
乳糖不耐受​
康比特分离乳清蛋白粉​
乳糖残留通常低于普通浓缩乳清
严重不耐受第一次先试半份；不要选含奶油、奶粉、浓缩乳清的版本
家庭日常营养补充​
汤臣倍健蛋白粉​
大豆分离蛋白＋浓缩乳清蛋白，经典款 80g蛋白质/100g，属于获批保健食品
不是“纯乳清”，大豆蛋白排位靠前；适合普通营养补充，未必是增肌最优选
预算有限的健身入门​
诺特兰德分离乳清蛋白粉​
常见版本约 80.2g蛋白质/100g，国产生产线较多，活动价较容易入手
注意具体口味，部分版本额外加入牛初乳粉、香精等
素食、牛奶过敏或纯植物路线​
艾兰得等豌豆＋大米复合植物蛋白产品
不含乳糖、不含乳制品，植物氨基酸互补
不推荐只喝大豆蛋白粉；必须结合谷物、坚果等食物提高氨基酸完整性
中老年人​
汤臣倍健经典蛋白粉​
口感、渠道和标签相对成熟，补充日常蛋白质较方便
肝肾功能异常、高尿酸或正在服药者先咨询医生
严格控糖​
选无糖、0蔗糖版分离乳清
少糖不等于少碳水，还要看碳水总量
避开麦芽糊精、植脂末、糖浆排在前列的产品
只想找便宜口粮​
普通浓缩乳清蛋白
价格低，氨基酸质量不错
乳清蛋白通常约 75～80g/100g，乳糖、脂肪略高，别为“浓缩款”付高价
康比特分离乳清公开资料显示每100g蛋白质约88g，适合控脂和运动后补充；汤臣倍健经典款明确使用大豆分离蛋白与浓缩乳清蛋白，每100g蛋白质80g。
比品牌更重要的4个判断方法
1.
直接看“每100g蛋白质”
•
普通蛋白粉：约 70～80g/100g
•
较高纯度：约 80～85g/100g
•
分离乳清：常见 85～90g/100g
不要只听“每份20g蛋白质”，还要看每份究竟是25g、30g还是35g。
2.
看配料表第一位
优先顺序是：
•
分离乳清蛋白
•
浓缩乳清蛋白
•
大豆分离蛋白
如果前三位是麦芽糊精、植脂末、全脂奶粉、葡萄糖浆、白砂糖，即使写“高蛋白”，品质通常也要降一档。
3.
按乳糖情况选择
•
喝纯牛奶正常：浓缩或混合乳清都可以。
•
喝牛奶胀气、腹泻：优先分离乳清。
•
牛奶蛋白过敏、严格素食：选无乳复合植物蛋白。
另外，增肌粉本质是“蛋白＋大量碳水”，蛋白质比例可能只有50g/100g左右，并不是蛋白质纯度更高。
4.
不要迷信“蓝帽子”
•
蓝帽子适合需要保健食品监管路径的产品；
•
健身乳清粉可能按运动营养食品生产，未必有蓝帽子；
•
真正要比较的是具体产品营养标签、生产许可、配料、第三方检测和运动项目禁用物质检测。
哪些品牌建议谨慎
•
康恩贝部分中老年蛋白粉：部分版本配方含植脂末，属于日常营养型，不一定适合增肌或控脂。
•
添加驼乳、益生菌、胶原蛋白、药食同源成分的功能型蛋白粉：通常价格较高、蛋白浓度偏低，额外成分实际添加量也可能有限。
•
白牌直播间“蛋白粉”：重点检查执行标准、生产许可证、配料表和每100g蛋白质，不要只看“进口乳清”“99%原料”等宣传。
•
夸大宣传产品：如“快速长肌肉”“降三高”“治病”“运动员同款”却拿不出对应产品检测报告，不建议购买。
近期市场监管抽检也提示，蛋白粉存在蛋白质、维生素、钙等标签标示不合格情况，因此购买时不能只看品牌，应认准品牌官方旗舰店和具体产品标签。
一句话购买建议：增肌选“康比特分离乳清”，家庭日常营养选“汤臣倍健经典双蛋白”；只买配料简单、每100g蛋白质≥80g、没有植脂末和大量麦芽糊精的产品。</x:v>
      </x:c>
      <x:c r="I52" s="5" t="str">
        <x:v>否</x:v>
      </x:c>
      <x:c r="J52" s="5" t="str"/>
      <x:c r="K52" s="5" t="str"/>
      <x:c r="L52" s="5" t="str"/>
      <x:c r="M52" s="5" t="str">
        <x:v>康比特、诺特兰德、汤臣倍健、康恩贝</x:v>
      </x:c>
      <x:c r="N52" s="5" t="str">
        <x:v>品牌提及/类型说明</x:v>
      </x:c>
      <x:c r="O52" s="5" t="str"/>
      <x:c r="P52" s="5" t="str"/>
      <x:c r="Q52" s="5" t="str"/>
      <x:c r="R52" s="5" t="str">
        <x:v>国产蛋白粉怎么选不踩坑?从蓝帽子身份到团标“优质蛋白质”标识的四个判断维度
市场监管总局办公厅关于42批次食品抽检不合格情况的通报
FoYes以科学运动营养,守护每一个人的运动野心
2026年国产蛋白粉名单:蛋白质含量､消化率､乳糖残留怎么查
市场监管总局通报:46批次食品抽检不合格
乳清蛋白粉选购指南:如何判断产品质量与纯度
蛋白粉哪个牌子纯度高?2026年国产蛋白粉热门品牌自用硬核测评
市场监管总局公布2批次抽检不合格特殊膳食食品
蛋白粉怎么选才有效?FoYes五前提拆解
2026蛋白粉什么品牌好?盘点口碑出众质量靠谱的蛋白粉品牌
市场监管总局通报45批次食品抽检不合格情况,食品添加剂滥用问题突出
健身用什么蛋白粉好?FoYes讲清选购关键
2026 国产靠谱蛋白粉测评,正规备案加持,成人补充蛋白更安心 - 今日头条
纽特舒玛乳清蛋白抽检不合格 代工厂为新三板企业浙江衡美子公司
蛋白粉推荐解读:参与标准制定与遵守标准的差距
2026蛋白粉选购攻略核心解析:国产蛋白粉哪个牌子好?
市场监管总局通报:安徽嘉焱生物DIDAYINGYANG蛋白质粉因钙含量超标抽检不合格 特殊膳食食品质量安全需警惕
蛋白粉哪些品牌的成分更靠谱?还要看身体接不接受
国产蛋白粉哪个牌子好?2026蛋白粉热门品牌盲测对比
长安区市场监督管理局关于河北耀佳医疗器械科技有限公司销售不合格食品核查处置结果的通告
不同人群蛋白粉怎么选?FoYes按训练场景拆清楚
2026年蓝帽认证高纯度蛋白粉自用分享!新手蛋白粉选购攻略看这篇!
FoYes以奥运级科学验证领跑2026选购指南
康比特蛋白粉 - 淘宝精选
康比特 蛋白粉的热量和营养信息
汤臣倍健蛋白粉
2026乳清蛋白粉十大品牌怎么选?看配料纯净度､蛋白含量､低乳糖3个标准
康比特蛋白粉 - 淘宝精选
康比特分离乳清蛋白粉增肌粉男女健身营养粉低脂蛋白质粉官方旗舰
汤臣倍健 蛋白粉
诺特兰德分离乳清蛋白粉测评
康恩贝蛋白粉 - 淘宝精选
康比特蛋白粉到底买哪款强?这5款增肌塑形,高效吸收更给力
哪个品牌的蛋白粉比较好?从需求确认到品牌核对的完整流程
乳清蛋白粉热门品牌盘点:不同配方分别解决什么需求
产品介绍
全能营 乳清蛋白大豆蛋白粉
乳糖不耐受选什么蛋白粉品牌?分离乳清产品集中比较
原味蛋白粉推荐2026:添加成分与蛋白含量综合比较</x:v>
      </x:c>
      <x:c r="S52" s="5" t="str">
        <x:v>https://news.39.net/yltx/260922/i1xcm50.html
https://www.samr.gov.cn/zw/zfxxgk/fdzdgknr/spcjs/art/2026/art_57950ddf7c5142ca9a3295b4a5c7789c.html
https://www.zqbao.com.cn/news/19492.html
https://m.39.net/jn/a_j2xcv4p.html
https://www.cfsn.cn/news/detail/29/356045.html
https://www.lfnews.cn/portal.php?aid=71360&amp;mod=view
http://zkxww.com/news/zhzx/2026-09-23/422207.html
http://mp.weixin.qq.com/s?__biz=MzIwNTAyNDQxMw==&amp;mid=2247501609&amp;idx=1&amp;sn=1e88794a7ef1246e9961571e00fcd7d1&amp;chksm=96802c663f09e7e2054ee024a167be8a7bedb1e463ca9fe00814bffb02c9b26ec2e47f658ade#rd
http://www.bozhou.cn/p/397178.html
http://www.bozhou.cn/p/398075.html
https://www.cfsn.cn/news/detail/22/346370.html
https://www.cet.com.cn/wzsy/kjzx/cygdzx/10482899.shtml
https://www.toutiao.com/article/7690184088321311247
https://www.163.com/dy/article/KR2N173M051482LC.html
https://www.toutiao.com/article/7686442724874027555
http://mp.weixin.qq.com/s?src=11&amp;timestamp=1790580865&amp;ver=6993&amp;signature=8eQbbcth87ffcGw2bJuw9q1PzNgXE6WNWohWrNIKlxKdnXqCJtTuvuL9Y-gFgf4rbzulsflgCWWlY4dto88j8UyNv-71kDR-Pw1ZxzWt5UFDMOsc1YAAjDcoPePSDY5O&amp;new=1
https://finance.sina.com.cn/stock/aigc/bwdt/sjzjbhg/2026-09-19/doc-inisinhf3184846.shtml
http://news.xnnews.com.cn/tyxw_2109/202609/t20260912_5427710.shtml
http://mp.weixin.qq.com/s?src=11&amp;timestamp=1790580865&amp;ver=6993&amp;signature=L9NK3kA9JdFylTadq3Ac4V7nb0vSqQBcUoJhfzynvrRLNIOPzg52p8*tz7853-7ogixfd6oKYkrnK*gux3opEk4zMNbSP3hI8pMM9-xUEcXw*lokb0Fg2Vbe8i1ecXyW&amp;new=1
http://www.sjzca.gov.cn/columns/17d92127-b461-48d2-a6f4-8d8061905a0e/202512/16/16308947-f1fb-429b-b83c-7fd64ec44ce5.html
http://www.bozhou.cn/p/395962.html
https://www.cet.com.cn/wzsy/kjzx/10572088.shtml
https://www.cet.com.cn/wzsy/kjzx/cygdzx/10464503.shtml
https://s.click.taobao.com/t?e=m%3D2%26s%3DPibBVx6%2Fl8Zw4vFB6t2Z2ueEDrYVVa64XoO8tOebS%2BdRAdhuF14FMZQZSGn3zaS0J1gyddu7kN%2BbBjBh3LodcDtMDMUFdHxsEga%2Bn4dNFSFW2RGh2%2FLyNYVwhIsr1DlAgb9ZeSZXs4rQ5thPdhAOVB0rjjmU3UJO4z70E0F965BFtqXPnpt9qXyj%2BP%2BB%2F4qiesiG6r4peJqHWG%2FJVsSpase7yeO2mjw5R75BurYmm6Oq9cGXHsX5n9fANBl9IklPmi7kBu3rICM3csBi%2Fi6JInsDLOuKZnPKxg5p7bh%2BFbQ%3D&amp;union_lens=lensId:TAPI@1790580870@0b5dcb60_1479_1a0e6efceb8_7b14@01&amp;skuId=6025444400636
https://www.fatsecret.cn/%E7%83%AD%E9%87%8F%E8%90%A5%E5%85%BB/search?q=%E5%BA%B7%E6%AF%94%E7%89%B9+%E8%9B%8B%E7%99%BD%E7%B2%89
https://www.by-health.com?ref=refind/
https://www.cet.com.cn/wzsy/kjzx/cygdzx/10413488.shtml
https://s.click.taobao.com/t?e=m%3D2%26s%3D1XXRxBqW2lxw4vFB6t2Z2ueEDrYVVa64XoO8tOebS%2BdRAdhuF14FMZQZSGn3zaS0J1gyddu7kN%2BbBjBh3LodcDtMDMUFdHxsEga%2Bn4dNFSFW2RGh2%2FLyNYVwhIsr1DlAgb9ZeSZXs4qp1xStp6%2F2HQhsvbJUoGmbvYuG9kywNUEYAGSI9sjRGm%2Fw%2BPrhZIYmIDbEAJ3YjMtp4UeD4ayD8t8fs0EH2N2fSzWNof4awibqVg794yutrPo5F0kkO369%2B%2BG32P6o%2BlsUwKMsvWj7aROGhEUGHWZ8&amp;union_lens=lensId:TAPI@1790580870@214142f8_1470_1a0e6efce80_6c31@01&amp;skuId=5929241339939
https://zhi.xinxin618.cn/detail.htm?id=5733
https://ts.cqszzs.com/baike/bjsp/313.html
http://mp.weixin.qq.com/s?__biz=Mzg4OTU0NDgyNw==&amp;mid=2247483764&amp;idx=1&amp;sn=66f3c5ab8ea7780d1292635fd1f4f6a1&amp;chksm=cec56f10e9966db9b28dee64fcd7d4210e1e063ede5943efd29540672b9b6cf46d01797a4dc8#rd
https://s.click.taobao.com/t?e=m%3D2%26s%3DPD87418MhOFw4vFB6t2Z2ueEDrYVVa64XoO8tOebS%2BdRAdhuF14FMUL7J7BLnB8rJ1gyddu7kN%2BbBjBh3LodcDtMDMUFdHxsEga%2Bn4dNFSFW2RGh2%2FLyNYVwhIsr1DlAgb9ZeSZXs4rQ5thPdhAOVKn%2BCa1qrk8U%2FEE87KjR9MUMs6UbjA%2B6Rx59kqz0RzhgTbVFKpJ1gwsNoYUs3vMglmtmkX8XGLOBhrDacWaqdsyq9cGXHsX5n1yKglgUI5qEPTHYDQL6803OPmAT6fZva3sDLOuKZnPKxg5p7bh%2BFbQ%3D&amp;union_lens=lensId:TAPI@1790580030@216606ac_1457_1a0e6e2fdb3_cca7@01
https://health.baidu.com/m/detail/ar_9016762123703442741
http://www.xnnews.com.cn/kejiao/kjqy/202609/t20260926_5511223.shtml
https://www.yszyapp.cn/p/135134.html
https://wiki.m.smzdm.com/p/604rx0z/
http://www.xiaolanzhongkang.com/mfvt/5396
https://m.miaoshou.com/news/MQxadDAXb420Ozlm.html
https://baby.ifeng.com/c/8wlfDBXVLvP</x:v>
      </x:c>
      <x:c r="T52" s="5" t="str">
        <x:v>news.39.net
www.samr.gov.cn
www.zqbao.com.cn
m.39.net
www.cfsn.cn
www.lfnews.cn
zkxww.com
mp.weixin.qq.com
www.bozhou.cn
www.bozhou.cn
www.cfsn.cn
www.cet.com.cn
www.toutiao.com
www.163.com
www.toutiao.com
mp.weixin.qq.com
finance.sina.com.cn
news.xnnews.com.cn
mp.weixin.qq.com
www.sjzca.gov.cn
www.bozhou.cn
www.cet.com.cn
www.cet.com.cn
s.click.taobao.com
www.fatsecret.cn
www.by-health.com
www.cet.com.cn
s.click.taobao.com
zhi.xinxin618.cn
ts.cqszzs.com
mp.weixin.qq.com
s.click.taobao.com
health.baidu.com
www.xnnews.com.cn
www.yszyapp.cn
wiki.m.smzdm.com
www.xiaolanzhongkang.com
m.miaoshou.com
baby.ifeng.com</x:v>
      </x:c>
      <x:c r="U52" s="5" t="str">
        <x:v>是</x:v>
      </x:c>
      <x:c r="V52" s="5" t="str"/>
      <x:c r="W52" s="5" t="str">
        <x:v>https://yuanbao.tencent.com/chat/naQivTmsDa/0QnvGbjLwGm</x:v>
      </x:c>
      <x:c r="X52" s="5" t="n">
        <x:v>39</x:v>
      </x:c>
      <x:c r="Y52" s="5" t="str">
        <x:v>否</x:v>
      </x:c>
    </x:row>
    <x:row r="53" ht="34" customHeight="1">
      <x:c r="A53" s="5" t="str">
        <x:v>Q12</x:v>
      </x:c>
      <x:c r="B53" s="5" t="str">
        <x:v>学生党健身适合买什么蛋白粉？</x:v>
      </x:c>
      <x:c r="C53" s="5" t="str">
        <x:v>购买推荐</x:v>
      </x:c>
      <x:c r="D53" s="5" t="str">
        <x:v>元宝</x:v>
      </x:c>
      <x:c r="E53" s="5" t="str">
        <x:v>自然</x:v>
      </x:c>
      <x:c r="F53" s="5" t="str">
        <x:v>2026/9/28 15:35:27</x:v>
      </x:c>
      <x:c r="G53" s="5" t="str">
        <x:v>有效</x:v>
      </x:c>
      <x:c r="H53" s="5" t="str">
        <x:v>学生党买蛋白粉：别买贵的，买"算得清"的
一句话结论
学生党首选浓缩乳清蛋白粉，把预算控制在每克蛋白质 0.08～0.15 元。​ 在这个价位上，国产主流品牌的 5 磅大桶装是性价比最优解，没必要为进口大牌的"名气税"多花钱。
怎么判断值不值：算"有效蛋白单价"
这是学生党最该学会的一招，能避开 90% 的坑：
有效蛋白单价 = 商品总价 ÷（净含量 × 蛋白质含量%）
举个例子：
•
某粉 5 磅（约 2.27kg），蛋白质含量 75%，活动价 320 元
•
有效蛋白 = 2270g × 75% ≈ 1700g
•
单价 = 320 ÷ 1700 ≈ 0.19 元/克蛋白
只要这个数字低于 0.15 元/克，就是学生党可以放心入手的价位。低于 0.10 元/克属于"捡漏价"，遇到大促可以囤。
千万别只看总价——很多产品靠大包装、买赠活动制造"便宜"的错觉，一算有效蛋白单价就露馅了。
三个价位档，对号入座
预算档
适合人群
典型产品
参考价位
极致性价比档​
预算紧张、纯入门
康比特赤金乳清、BD蛋白粉、Myprotein Impact Whey
100～200 元/大桶
主流口粮档（推荐）​
大多数健身学生
诺特兰德红桶、赛霸三重乳清、健乐多
250～380 元/5磅
品质进阶档​
乳糖不耐、控脂严格
ON金标、Dymatize ISO100、Myprotein分离乳清
400～600 元/5磅
学生党建议从第二档开始，品质稳定、价格合理、渠道好买。第一档适合预算吃紧时当"口粮粉"，第三档除非你明确知道自己乳糖不耐或追求极致纯度，否则对增肌效果的提升并不明显——浓缩乳清和分离乳清都能增肌，差别在纯度和乳糖，不在"长肌肉"本身。
三条避坑铁律
1. 配料表第一位必须是"乳清蛋白"
如果"葡萄糖""麦芽糊精""白砂糖"排在第一位，直接放下。这类产品本质是"高糖饮料粉"——临床案例中有产品乳清蛋白只占 16%，蛋白质含量低到 10.3g/100g，还容易导致血糖剧烈波动。
2. 蛋白质含量 ≥ 70% 是底线
优质蛋白粉的蛋白质含量通常在 70%～90% 之间。低于 30% 的直接排除，那已经是固体饮料的级别了。
3. 警惕"增肌粉"和"复合特效"
很多增肌粉其实是高碳水复合粉，添加了大量麦芽糊精和糖，热量爆炸，普通学生健身喝完容易长的是脂肪不是肌肉。除非你属于"怎么吃都不胖、体重严重偏低"的类型，否则老老实实买纯乳清蛋白粉就够了。同理，BCAA、肌酸、谷氨酰胺这些复配成分，价格虚高，不如单独买更划算。
购买渠道和使用建议
•
渠道：只认官方旗舰店或授权经销商，认准防伪码。坚决避开微商"内部价"和来路不明的分装粉，这类产品无法溯源，掺假、变质风险极高。
•
时机：618、双11、年货节是入手大桶的最佳节点，价差可达 30% 以上。
•
用量：健身学生每天蛋白质需求约 1.5～2.0g/kg 体重。一个 60kg 的人，如果一天三餐能从鸡蛋、牛奶、鸡胸肉里吃够 50g 蛋白，训练后补 1 勺（约 20～25g）就足够了。蛋白粉是补缺口的，不是替代正餐的。
•
先买小包装试口味：蛋白粉要长期喝，口味决定了你能不能坚持喝完。巧克力、香草是最不容易踩雷的两个口味，第一次买别直接上 5 磅大桶。
最后一句实话：对于学生党，蛋白粉的预算天花板不应该超过你每月训练补剂的 30%。剩下的钱花在鸡胸肉、鸡蛋、牛奶上，效果比任何"高纯度黑科技"都实在。训练不达标、总热量不够、睡眠拉垮，换任何蛋白粉都长不了肌肉。</x:v>
      </x:c>
      <x:c r="I53" s="5" t="str">
        <x:v>否</x:v>
      </x:c>
      <x:c r="J53" s="5" t="str"/>
      <x:c r="K53" s="5" t="str"/>
      <x:c r="L53" s="5" t="str"/>
      <x:c r="M53" s="5" t="str">
        <x:v>赛霸/小赛同学、BD能量、康比特、诺特兰德、Myprotein、ON/欧普特蒙、狄马泰斯、健乐多</x:v>
      </x:c>
      <x:c r="N53" s="5" t="str">
        <x:v>品牌提及/类型说明</x:v>
      </x:c>
      <x:c r="O53" s="5" t="str"/>
      <x:c r="P53" s="5" t="str"/>
      <x:c r="Q53" s="5" t="str"/>
      <x:c r="R53" s="5" t="str">
        <x:v>平价增肌蛋白粉怎么挑!按预算分级认准纯乳清避开劣质坑
【科普】读懂标签,科学选购蛋白粉
大学生买蛋白粉怎么选?日常补充和健身需求怎么兼顾
2026乳清蛋白粉十大品牌怎么选?看蛋白来源､蛋白质含量､配方洁净度3个标准
适合学生的蛋白粉
规律力量训练的新手,同样叫增肌蛋白粉差别很大:几款拆开看后,我更关注这几个地方
学生吃哪种蛋白粉好
2026品质安全白皮书,乳清蛋白粉哪个品牌好?
吃蛋白粉能增肌吗
训练和晚自习挤在一起的中学生必看,青少年适合的蛋白粉牌子先看配料表顺序
2026乳清蛋白粉品牌:热门款实测,避坑指南出炉!
健身蛋白粉哪些品牌好?看增肌数据､蛋白吸收､口感
学生党健身蛋白粉推荐平价
蛋白粉哪个牌子性价比高:六款产品,按实际蛋白量算清真实价值
增肌用的蛋白粉怎么入手?认准肌肉合成三件套
学生党增肌蛋白粉推荐啥
增肌蛋白粉品牌推荐:2026年增肌期值得买的蛋白粉与选择要点
学生买蛋白粉别盲目追大牌!平价划算品牌,兼顾品质与钱包!
健身党挑增肌蛋白粉哪款好,从三种训练需求看高纯型､乳清型和日常型怎么选</x:v>
      </x:c>
      <x:c r="S53" s="5" t="str">
        <x:v>https://h5detail.yiyouliao.com/rivers/newsfeed/1536235174142947329/ID2BHQU87O8Z8TF.html
http://mp.weixin.qq.com/s?__biz=MzA3NDY2OTEyMQ==&amp;mid=2247498739&amp;idx=7&amp;sn=8aa2404fd3a76d7642c6fb084cb5911a&amp;chksm=9ef7bc2505586a8654a49728bf0ff65f09b712fd01e918082cd6df0cda532f8c247f8023e525#rd
https://m.miaoshou.com/news/YEk5OJQoob9DAQbV.html
http://www.dahenews.cn/dhnews/023723399.html
https://health.baidu.com/m/detail/ar_5944111946452157134
https://www.yszyapp.cn/p/126213.html
https://health.baidu.com/m/detail/ar_6737155547180016348
https://finance.sina.com.cn/roll/2026-02-25/doc-inhnzmmq2217507.shtml
https://m.cndzys.com/xshcore/quanwei_ztartnew/1es_2645500.html
https://www.yszyapp.cn/p/128234.html
https://m.toutiao.com/article/7603274545742512650
https://www.cet.com.cn/wzsy/kjzx/10538125.shtml
https://g.pconline.com.cn/best/guide/125176.html
http://mp.weixin.qq.com/s?__biz=MzYyMjU3NDI5MA==&amp;mid=2247484698&amp;idx=8&amp;sn=f9a8cc2b77caa3f6b0c0c3f79c8f7844&amp;chksm=fe0d1228ca970d56133d6d05948ee4c8cc92ee00fa3190a51f61e307929468aa6afe5742854c#rd
https://www.cet.com.cn/wzsy/kjzx/cygdzx/10555933.shtml
https://g.pconline.com.cn/best/guide/71311.html
https://www.snjrmtzx.cn/p/97415.html
http://mp.weixin.qq.com/s?src=11&amp;timestamp=1790580910&amp;ver=6993&amp;signature=3MmwUIdiebx652LmKuq9-88HisirYKMrRQWZWoUpoD-4zuoKaPNL9Ld0g6OMRIfDd2BqJNHNyCB6fhFrMx9R58eEhodWPtJOQ4IQwzXQkUr2QXdy*KVYHx0kaQWrygL0&amp;new=1
https://www.yszyapp.cn/p/122045.html</x:v>
      </x:c>
      <x:c r="T53" s="5" t="str">
        <x:v>h5detail.yiyouliao.com
mp.weixin.qq.com
m.miaoshou.com
www.dahenews.cn
health.baidu.com
www.yszyapp.cn
health.baidu.com
finance.sina.com.cn
m.cndzys.com
www.yszyapp.cn
m.toutiao.com
www.cet.com.cn
g.pconline.com.cn
mp.weixin.qq.com
www.cet.com.cn
g.pconline.com.cn
www.snjrmtzx.cn
mp.weixin.qq.com
www.yszyapp.cn</x:v>
      </x:c>
      <x:c r="U53" s="5" t="str">
        <x:v>是</x:v>
      </x:c>
      <x:c r="V53" s="5" t="str"/>
      <x:c r="W53" s="5" t="str">
        <x:v>https://yuanbao.tencent.com/chat/naQivTmsDa/0QnvJzh7o0W</x:v>
      </x:c>
      <x:c r="X53" s="5" t="n">
        <x:v>19</x:v>
      </x:c>
      <x:c r="Y53" s="5" t="str">
        <x:v>否</x:v>
      </x:c>
    </x:row>
    <x:row r="54" ht="34" customHeight="1">
      <x:c r="A54" s="5" t="str">
        <x:v>Q13</x:v>
      </x:c>
      <x:c r="B54" s="5" t="str">
        <x:v>有没有比较好喝、容易坚持喝的蛋白粉推荐？</x:v>
      </x:c>
      <x:c r="C54" s="5" t="str">
        <x:v>购买推荐</x:v>
      </x:c>
      <x:c r="D54" s="5" t="str">
        <x:v>元宝</x:v>
      </x:c>
      <x:c r="E54" s="5" t="str">
        <x:v>自然</x:v>
      </x:c>
      <x:c r="F54" s="5" t="str">
        <x:v>2026/9/28 15:37:21</x:v>
      </x:c>
      <x:c r="G54" s="5" t="str">
        <x:v>有效</x:v>
      </x:c>
      <x:c r="H54" s="5" t="str">
        <x:v>你的三个追问我这边没收到回复，那我就不绕弯子，直接给你一份口感导向的选购清单。先说个反直觉的结论：好喝和"高级"往往是反着来的——纯、零添加、配料表干净的无味分离乳清，喝起来反而最接近"粉笔水"，最不容易坚持。
闭眼入的三个安全牌
ON 金标（Optimum Nutrition Gold Standard 100% Whey）双份巧克力
公认的基准款，不是最好喝，但是最不容易踩雷。甜度克制、没有那种代糖后苦味，溶解性极强，冷水摇10秒就化开。单份约700-800g蛋白，性价比适中。怕腻的人最稳的选择。
Myprotein Impact Whey 北海道牛奶味
走性价比路线，2.5kg大袋日常价常在300-450元区间，合下来每克蛋白不到1毛钱。口味分高的是盐焦糖（Salted Caramel）、摩卡、Chocolate Smooth，都在4分左右（5分制）；踩雷的是李子、椰子、黑巧克力，直接避开。选北海道牛奶或巧克力滑顺最稳。
自然之宝（Nature's Bounty）巧克力味
如果你不是健身人群、只是想日常补充，这款反而更合适——巧克力味还原度高，"喝起来像巧克力饮料"是高频评价，口感细腻度被反复提到。453g小包装，试错成本极低。
关键提醒：决定你能否坚持的，其实是冲调
搜索里那些"难喝"的差评，有相当比例不是粉的问题，是方法问题：
•
先液体后粉，水是粉的8-10倍（30g粉配250-300ml），先倒水再加粉，顺序反了必结块
•
用冰水或冰牛奶，比温水好喝一个档次，粉味会被压下去
•
加料是最有效的改造手段：半根香蕉、一勺无糖可可粉、5g速溶咖啡、倒进冰燕麦奶里，成本几乎为零，但口感立刻从"补剂"变成"饮品"
•
避开70℃以上的热水，蛋白变性会让口感发涩
别踩的三个坑
1.
别一上来就买5磅大桶。先把小规格或单份试用装喝完，确认不反胃再囤货
2.
配料表前三位出现植脂末、麦芽糊精的慎选——那是用填充剂掩盖底味，而且碳水会悄悄顶上来
3.
别追"零糖"三个字。纯靠代糖调味的往往后味发苦，轻度甜味的产品反而更耐喝
如果你告诉我喝它是为了增肌、减脂还是日常补充，以及会不会乳糖不耐，我可以把上面这三条再收窄到一个具体型号和口味上。</x:v>
      </x:c>
      <x:c r="I54" s="5" t="str">
        <x:v>否</x:v>
      </x:c>
      <x:c r="J54" s="5" t="str"/>
      <x:c r="K54" s="5" t="str"/>
      <x:c r="L54" s="5" t="str"/>
      <x:c r="M54" s="5" t="str">
        <x:v>Myprotein、ON/欧普特蒙</x:v>
      </x:c>
      <x:c r="N54" s="5" t="str">
        <x:v>品牌提及/类型说明</x:v>
      </x:c>
      <x:c r="O54" s="5" t="str"/>
      <x:c r="P54" s="5" t="str"/>
      <x:c r="Q54" s="5" t="str"/>
      <x:c r="R54" s="5" t="str"/>
      <x:c r="S54" s="5" t="str"/>
      <x:c r="T54" s="5" t="str"/>
      <x:c r="U54" s="5" t="str">
        <x:v>否</x:v>
      </x:c>
      <x:c r="V54" s="5" t="str"/>
      <x:c r="W54" s="5" t="str">
        <x:v>https://yuanbao.tencent.com/chat/naQivTmsDa/0QnvLeYRfM0</x:v>
      </x:c>
      <x:c r="X54" s="5" t="n">
        <x:v>0</x:v>
      </x:c>
      <x:c r="Y54" s="5" t="str">
        <x:v>否</x:v>
      </x:c>
    </x:row>
    <x:row r="55" ht="34" customHeight="1">
      <x:c r="A55" s="5" t="str">
        <x:v>Q14</x:v>
      </x:c>
      <x:c r="B55" s="5" t="str">
        <x:v>酵母蛋白粉哪个牌子比较好？</x:v>
      </x:c>
      <x:c r="C55" s="5" t="str">
        <x:v>品牌竞争</x:v>
      </x:c>
      <x:c r="D55" s="5" t="str">
        <x:v>元宝</x:v>
      </x:c>
      <x:c r="E55" s="5" t="str">
        <x:v>自然</x:v>
      </x:c>
      <x:c r="F55" s="5" t="str">
        <x:v>2026/9/28 15:39:00</x:v>
      </x:c>
      <x:c r="G55" s="5" t="str">
        <x:v>有效</x:v>
      </x:c>
      <x:c r="H55" s="5" t="str">
        <x:v>先说结论：国内酵母蛋白粉这个品类，几乎不存在真正的"多品牌竞争格局"——绝大多数成品品牌用的都是同一家原料：安琪的 AnPro 酵母蛋白。所以"选品牌"在这件事上权重没那么高，看懂配料表和营养成分表才是关键。
品牌怎么分
成品粉分三档：
•
第一档：垂类补剂品牌——Allkeep、英之素、概特、米当卡、南巨、三角瞄。直接采购安琪 AnPro，主打纯酵母，执行运动营养食品标准，迭代快（已到2.0版本），重点在解决酵母的"怪味"和泡沫多这两个痛点。
•
第二档：老牌运动营养——赛霸、Keep、6星、动能加。以复配款（酵母+分离乳清）为主，压成本、试水市场。赛霸动作最快，子品牌"小赛同学"出了酵母+乳清款。
•
第三档：ODM贴牌——魔法黑钻、元气码头、爱兰纯、ALLKEEP 等。找代工厂拿安琪原料做包装和调味。这里面容易混进"蹭概念"产品：酵母蛋白占比极低、用豌豆/大豆蛋白充大头，包装叫"酵母蛋白粉"，执行的却是固体饮料标准——不是运动营养食品，注意区分。
原料端安琪是绝对龙头，酵母蛋白新食品原料的唯一申报主体，牵头制定行业标准，蛋白含量能到80%以上。
我的实际建议
与其纠结品牌，不如按这个顺序筛：
1.
看执行标准：包装上写着"运动营养食品（运动后恢复类）"的优先，写"固体饮料"的慎选。
2.
看蛋白质含量：营养成分表"每100g蛋白质"这一栏，75%以上算合格，85%以上算优秀。别被正面"90原料"的大字忽悠——原料纯度≠成品含量。
3.
看是否纯酵母：配料表第一位是"酵母蛋白粉"且不含"乳清蛋白"的才是真·纯酵母，零乳糖。
4.
看钠和嘌呤：酵母粉本身带钠，品牌成品钠含量从100mg/100g到500mg+/100g都有，控盐人群下单前必看。嘌呤问题选标注了"脱核酸处理"的款，总嘌呤能压到8mg/100g以下。
5.
看价格：统一换算成"每100g蛋白质多少钱"。目前市场参考——酵母粉大约8–10元/100g蛋白，是国产乳清的一半、进口高端款（ON金标约50–56元）的六分之一。遇到低于6元的要警惕，要么规格不一致要么有猫腻。
具体怎么选
•
求稳、送长辈：安琪纽特（安琪自家品牌）。500g礼盒约128元，红茶/红豆风味，复配了乳清和大豆蛋白，PDCAAS=1.0，GI值26.4，有蓝帽认证，主打低嘌呤工艺。缺点是它不算"纯酵母"，含乳制品成分。
•
健身、要纯酵母：京东京造 Pro 85%（5磅约159–180元，蛋白质含量85%，20万+评论）性价比最均衡；要更便宜可以比价赛霸85%（活动价能到115–125元/5磅）、BD（99元/4磅，76%）。
•
怕踩雷选口味：绿豆/抹茶味普遍比原味接受度高。多款测评里 Concept GAT 2.0 绿豆味、魔法黑钻绿豆冰沙、BD巧克力表现相对靠前。
两类人不建议碰：高尿酸/痛风人群（脱核酸也先问医生）；备赛期追求极限增肌效率的人（酵母的亮氨酸水平和吸收速度目前仍不如乳清，这个钱省不得）。
另外提醒一句：小红书上"营养师揭秘""适合东方人体质"这类夸酵母蛋白的帖子，相当部分是品牌投放。想看真实口碑，去B站评论区和高赞避坑帖里翻更靠谱。
需要的话，把你看到的几个具体商品链接或截图发我，我帮你逐项比对配料表。</x:v>
      </x:c>
      <x:c r="I55" s="5" t="str">
        <x:v>否</x:v>
      </x:c>
      <x:c r="J55" s="5" t="str"/>
      <x:c r="K55" s="5" t="str"/>
      <x:c r="L55" s="5" t="str"/>
      <x:c r="M55" s="5" t="str">
        <x:v>魔法黑钻、Keep、6星、动能加、安琪纽特、赛霸/小赛同学、概特/盖特、京东京造、米当卡、BD能量、ALLKEEP、南巨、英之素、元气码头、三角喵、爱兰纯、ON/欧普特蒙</x:v>
      </x:c>
      <x:c r="N55" s="5" t="str">
        <x:v>品牌提及/类型说明</x:v>
      </x:c>
      <x:c r="O55" s="5" t="str"/>
      <x:c r="P55" s="5" t="str"/>
      <x:c r="Q55" s="5" t="str"/>
      <x:c r="R55" s="5" t="str"/>
      <x:c r="S55" s="5" t="str"/>
      <x:c r="T55" s="5" t="str"/>
      <x:c r="U55" s="5" t="str">
        <x:v>否</x:v>
      </x:c>
      <x:c r="V55" s="5" t="str"/>
      <x:c r="W55" s="5" t="str">
        <x:v>https://yuanbao.tencent.com/chat/naQivTmsDa/0QnvU1VRQm1</x:v>
      </x:c>
      <x:c r="X55" s="5" t="n">
        <x:v>0</x:v>
      </x:c>
      <x:c r="Y55" s="5" t="str">
        <x:v>否</x:v>
      </x:c>
    </x:row>
    <x:row r="56" ht="34" customHeight="1">
      <x:c r="A56" s="5" t="str">
        <x:v>Q15</x:v>
      </x:c>
      <x:c r="B56" s="5" t="str">
        <x:v>国产运动营养品牌有哪些值得关注？</x:v>
      </x:c>
      <x:c r="C56" s="5" t="str">
        <x:v>品牌竞争</x:v>
      </x:c>
      <x:c r="D56" s="5" t="str">
        <x:v>元宝</x:v>
      </x:c>
      <x:c r="E56" s="5" t="str">
        <x:v>自然</x:v>
      </x:c>
      <x:c r="F56" s="5" t="str">
        <x:v>2026/9/28 15:39:40</x:v>
      </x:c>
      <x:c r="G56" s="5" t="str">
        <x:v>有效</x:v>
      </x:c>
      <x:c r="H56" s="5" t="str">
        <x:v>值得关注的国产品牌，关键不是营销声量，而是国内研发生产、产品分类清晰、运动场景匹配、检测与标签透明。截至 2026年9月28日，可以按需求分成以下几档：
重点关注
1. 康比特：专业运动营养综合实力最强
•
成立时间久，长期服务专业运动队
•
产品覆盖速度力量、耐力、恢复、能量补充等场景
•
拥有运动营养食品生产许可，并参与相关行业标准建设
•
累计服务百余支国家队，专业性在国内较突出
适合：力量训练、耐力运动、体考体能、专业队需求。
短板：部分专业产品配方较复杂，购买前需要按具体类别和训练目标选择。
2. 健乐多／汤臣倍健：大众增肌、家庭蛋白补充更稳妥
汤臣倍健并非纯运动品牌，但旗下健乐多更聚焦健身人群，官方产品线包括乳清蛋白、速度力量运动营养粉和分离乳清蛋白。其优势是品牌知名度高、规格选择多、购买方便。
适合：刚进健身房、日常蛋白摄入不足、重视品牌稳定性的人群。
注意：“蛋白粉”和“运动营养食品”并不完全等价，应重点核对具体产品的蛋白质含量、乳清类型和使用场景。
3. 迈胜：耐力运动场景最值得跟踪
迈胜成立于2022年，以液体蛋白切入，目前扩展至能量胶、液体盐丸、甜菜根、酸樱桃等产品，重点覆盖马拉松、越野跑、铁人三项及骑行。
2026年9月，迈胜完成近亿元A+轮融资，股东包括蒙牛、李宁公司及中信农业产业基金。过去一年专业补给产品实现翻倍增长，说明其专业运动渠道正在扩张。
适合：跑步、骑行、铁三、长距离越野。
优势：即饮形态方便，围绕“赛前—赛中—赛后”设计。
短板：品牌历史较短，长期产品口碑仍需继续观察。
4. 百淬：跑步、场馆和运动饮料场景有特色
国内运营主体为北京百淬运动科技有限公司，主要产品包括运动饮料、固体粉剂、能量胶、蛋白棒和能量棒。产品强调无蔗糖、无人工色素、无咖啡因，早期通过职业俱乐部、马拉松和越野赛事进入运动场景。
适合：跑步、球类运动、场馆训练及日常训练补水。
提醒：“BioSteel”具有海外品牌背景，判断是否属于国产时，应以中国大陆运营主体、生产商及生产许可证为准。
5. 诺特兰德：大众线上渠道和性价比代表
品牌由山东斯伯特体系运营，2020年获得运动营养食品生产许可，并逐步转向国内生产。产品矩阵很宽，包括左旋肉碱、蛋白粉、维生素、矿物质和日常营养产品。
适合：健身新手、线上购买、价格敏感型用户。
提醒：它更偏大众营养与电商爆品，选择时要区分蛋白粉、运动饮料和膳食补充剂，不能只看品牌名。
第二梯队：适合特定场景
品牌
核心定位
更适合谁
Keep
训练内容与轻运动食品结合
减脂、轻健身、Keep生态用户
ffit8
蛋白棒、蛋白威化、轻体代餐
办公室加餐、控制热量、便携蛋白补充
训练怪兽
大规格、平价乳清蛋白
预算有限的力量训练者
氧气能量
斯伯特体系、运动营养出口
想尝试国产品牌中高性价比产品者
艾兰得
植物蛋白、软糖及营养食品
乳糖不耐受、素食或轻营养场景
Keep的优势是App、课程、装备和食品能够形成闭环，产品包括蛋白粉、蛋白棒、代餐及电解质类产品。
ffit8的优势则是便携和口味，核心产品包括蛋白棒、蛋白粉、蛋白奶昔及蛋白威化，但蛋白棒本质上是补充食品，不等于蛋白粉。
不同需求，优先顺序不同
健身增肌
优先看：
1.
康比特
2.
健乐多
3.
Keep
4.
训练怪兽
5.
诺特兰德
重点不是“每份多少克”，而是看包装上的：
•
每100克蛋白质含量
•
配料表中乳清蛋白是否靠前
•
属于浓缩、分离还是水解乳清
•
糖、脂肪和添加碳水含量
•
按每克蛋白质价格，而不是按每罐价格比较
例如，一份标注30克的产品含21克蛋白质，并不代表蛋白纯度很高，要看每100克产品中的蛋白质含量。乳糖不耐受者优先看分离乳清，但产品是否适合仍需结合配料表和自身反应。
跑步、骑行和耐力运动
优先看：
1.
迈胜
2.
康比特
3.
百淬
耐力场景重点不是单纯补蛋白，而是：
•
运动前：能量储备
•
运动中：碳水、电解质、水分及肠胃耐受
•
运动后：碳水与蛋白质恢复
不要用一个所谓“全能运动粉”替代赛前、赛中和赛后不同阶段的需求。
减脂和体重管理
优先看：
1.
ffit8
2.
Keep
3.
诺特兰德
4.
汤臣倍健
重点看总热量、蛋白质、膳食纤维和食用分量。所谓“高蛋白”不代表低热量，部分蛋白棒仍然含较多糖和脂肪；蛋白棒可以补充蛋白质，但不能代替正餐，更不能直接导致减脂。
购买前建议检查这5项
1.
明确产品身份：普通食品、运动营养食品还是保健食品，三者不能混为一谈。
2.
看包装标准：部分康比特产品按运动营养食品分类；迈胜部分产品执行GB 24154。
3.
查生产企业：关注包装上的委托方、受托方、产地和食品生产许可证编号。
4.
核对运动项目风险：专业运动员尤其应关注批次检测、供应商管理以及反兴奋剂风险控制。
5.
先买小包装试口感：溶解性、肠胃耐受和口味，往往比品牌宣传更影响长期坚持。
综合排序：
•
专业运动营养：康比特 ＞ 迈胜 ＞ 百淬
•
增肌补蛋白：康比特 ＞ 健乐多 ＞ 训练怪兽 ＞ 诺特兰德
•
耐力比赛补给：迈胜 ＞ 康比特 ＞ 百淬
•
减脂与轻营养：ffit8 ＞ Keep ＞ 诺特兰德
•
家庭日常购买：汤臣倍健 ＞ 康比特
品牌知名度只能作为初筛依据，最终仍应以具体产品的配方、检测信息、执行标准和实际食用场景为准。</x:v>
      </x:c>
      <x:c r="I56" s="5" t="str">
        <x:v>否</x:v>
      </x:c>
      <x:c r="J56" s="5" t="str"/>
      <x:c r="K56" s="5" t="str"/>
      <x:c r="L56" s="5" t="str">
        <x:v>康比特</x:v>
      </x:c>
      <x:c r="M56" s="5" t="str">
        <x:v>Keep、康比特、诺特兰德、汤臣倍健、训练怪兽、迈胜、ffit8、健乐多</x:v>
      </x:c>
      <x:c r="N56" s="5" t="str">
        <x:v>品牌提及/类型说明</x:v>
      </x:c>
      <x:c r="O56" s="5" t="str"/>
      <x:c r="P56" s="5" t="str"/>
      <x:c r="Q56" s="5" t="str"/>
      <x:c r="R56" s="5" t="str">
        <x:v>运动健康②:汤臣倍健､康比特…蛋白粉们都在走什么路?
諾特蘭德
蒙牛运动营养品牌“迈胜”完成近亿元A轮融资--经济·科技--人民网
Keep Inc. Interim Report 中期報告 2026
ffit8产品吃喝说明书
2026年国产蛋白粉名单:蛋白质含量､消化率､乳糖残留怎么查
康比特——海南省第七届运动会支持单位
诺特兰德怎么样?看懂国民膳食营养标杆实力
百淬携手落基体育,引领专业运动营养补给新风暴!
中國專業運動營養品牌“邁勝”完成近億元A輪融資
汤臣倍健按分类筛选 BYHEALTH
ffit8
国产蛋白质粉什么品牌适合专业运动人群?通过反兴奋剂认证的推荐
廿五载砺剑运动营养 新征程扬帆健康蓝海——北京康比特公司25年发展纪实
以科学筑底 以品质立企:诺特兰德筑牢国民营养信任标杆
北京百淬运动科技有限公司
迈胜完成近亿元A轮融资,产业资本聚力运动营养赛道
冻干运动奶昔适合运动后喝吗,冻干运动奶昔用什么冲泡,口碑好的品牌推荐
Keep保健食品自营官方旗舰店-优惠券PLUS
ffit8,品牌列表,上海碧桐文化发展有限公司
健身蛋白粉哪些品牌效果更好?看增肌数据､蛋白吸收､口感
“25载与你同行”康比特25周年庆典在京启幕——以更高品质赋能用户 以创新之力开启运动营养新未来
告别粉质感与涩口感:比传统蛋白粉更好喝的顺滑选择
史上最严,等同婴幼儿食品安全标准! 康比特运动营养食品生产许可1周岁
迈胜医疗小型化质子治疗系统与肿瘤精准放疗解决方案
济南斯伯特商贸有限公司
2026减肥代餐产品合规实测6家国内品牌资质全梳理,避坑必看!
展商优选 3月6-8日,ffit8邀您参加2026深圳全食展
蛋白粉热门品牌盘点 2026年健身控卡期蛋白粉参考清单
只想买的新手挑蛋白粉,乳清蛋白粉怎么选?先看纯度,再看检测和配料
康比特发布运动营养食品首款SC生产许可产品
蒙牛迈胜益生菌乳清蛋白粉
百淬
山东斯伯特生物科技有限公司
Keep轻食引领健康新风尚 获食药局认可
ffit8简介-ffit8减肥代餐-十大品牌网CNPP</x:v>
      </x:c>
      <x:c r="S56" s="5" t="str">
        <x:v>http://mp.weixin.qq.com/s?src=11&amp;timestamp=1790581146&amp;ver=6993&amp;signature=f*4wnQC3h5i6CblBNT9bhQ3pxyVCij2ZIWgrQ9r0dAADNjm5rH4sMOAcESv8HSVvM9bo5AHwmTLBj2iy-m-1avQVn-WbrsdePTo2U*b8DTQFQ2I67r8ZDmmQrN6eBG11&amp;new=1
https://www.ntldhk.com/zh
https://finance.people.com.cn/n1/2026/0922/c1004-40803571.html
https://www1.hkexnews.hk/listedco/listconews/sehk/2026/0922/2026092200668_c.pdf
http://mp.weixin.qq.com/s?__biz=MzUxNDUyMDU2OA==&amp;mid=2247486675&amp;idx=1&amp;sn=58a312cc41905704a1b5138d6601e424&amp;chksm=f8caf5accdd1b78be2cfd252440b592362c93ed87756c9aa3a9e31331529854d80569df96ced#rd
https://m.39.net/jn/a_j2xcv4p.html
https://qionghai.hainan.gov.cn/rdzt/hndqjydh/sydt/202607/t20260731_4120987.html
https://www.bjnews.com.cn/detail/1778224030129303.html
http://mp.weixin.qq.com/s?__biz=MzIzNTg5Njc3Ng==&amp;mid=2247510484&amp;idx=1&amp;sn=b0a5c164fd6144c510aab5775657e55b&amp;chksm=e9fc471f528b15a29547ff8e13e15dba798317d8663e971b7243c46792d7b48833b242ed4c5a#rd
https://finance.people.com.cn/BIG5/n1/2025/1114/c1004-40603942.html
https://www.by-health.com/product-tag/?tag=%E8%9B%8B%E7%99%BD%E8%B4%A8&amp;v=1
https://www.cnpp.cn/company/151288.html
http://mp.weixin.qq.com/s?src=11&amp;timestamp=1790581146&amp;ver=6993&amp;signature=dn3jLIT0G8KjZVXYkoT8krDkYx5FWHBP-dlY9*FJnGZcoYzEdx-FiNBk6UyIestFq4N01kyo7WxJyz4bmyLy8ahGTZnjDHNV30--LuG4UkmHeC3sHNhDh3exIeW3GZjJ&amp;new=1
https://www.sport.org.cn/shouye/tycy/2026/0525/697720.html
https://m.bjnews.com.cn/detail/1769408803129450.html
https://baike.baidu.com/item/北京百淬运动科技有限公司/22829200
https://www.toutiao.com/article/7688229377821311542/
https://m.cnpinpai.cn/news_hot/3524175.html
https://www.yhqplus.com/202601010000000338.htm
https://bitong.cn/brands/brand_id/12835/name/.html
https://news.miaoshou.com/news/2obmWDb8PbwJ8zOP.html
https://imgs.xinhuanet.com/food/20260519/13cc0a031b3e4c4da294bec2e226fe57/c.html
http://mp.weixin.qq.com/s?src=11&amp;timestamp=1790581153&amp;ver=6993&amp;signature=AlyljwSlhQakQTmVsXQTdb1tqng*i2wbUIkZW2DflITrez3ktOC59qe7uBm-sKzxAwLUEjpD1SDKDEDP420KVcU9h9V6URkBHSxcLVkkU5a1mLU8ycyNAZFT3m*B2U2Y&amp;new=1
http://mp.weixin.qq.com/s?__biz=MzA5MTAzMzMyOQ==&amp;mid=2653908729&amp;idx=2&amp;sn=02ccf69deaa503b2aaa8c50fa00e6b5f&amp;chksm=8a772882f72b3a853540d04e43de1e9c9bb188d15118ebd56f66ae64f08cfc296c10f510b0f7#rd
http://www.mevionchina.com/
https://baike.baidu.com/item/%E6%B5%8E%E5%8D%97%E6%96%AF%E4%BC%AF%E7%89%B9%E5%95%86%E8%B4%B8%E6%9C%89%E9%99%90%E5%85%AC%E5%8F%B8/23441812
https://www.ysxw.cn/p/89308.html
http://mp.weixin.qq.com/s?src=11&amp;timestamp=1790581153&amp;ver=6993&amp;signature=ayOFyGcYLGIAJ8tfK48xJrViTrR3iYuXCxjLq7XNnSns2ou0mTEcsh2K8R6tiS6k6MfFS8rNfZwi0h8VIE4m1kmblNVsVSedKkoA24xS5SpzU72x--VoPGH2po6S5orS&amp;new=1
http://share-plus.huaihai.tv/folder7147/folder7611/2026-06-05/zepDjpjjYpJfaUNm.html
https://www.yszyapp.cn/p/122058.html
https://www.toutiao.com/article/6463421929926689038/
http://mp.weixin.qq.com/s?__biz=MjM5MjIxODA3OQ==&amp;mid=2247548409&amp;idx=5&amp;sn=df99dcca30448878e98a65bf42609e85&amp;chksm=a74ee6c63d2a865aa4f473817df909e596af1f7e631097835416549ce9451bd8e083171e75aa#rd
https://baike.baidu.com/item/%E7%99%BE%E6%B7%AC/22726509
https://baike.baidu.com/item/山东斯伯特生物科技有限公司/51460135
https://sports.sina.com.cn/other/2019-05-08/doc-ihvhiqax7429161.shtml
https://www.cnpp.cn/pinpai/1622816.html</x:v>
      </x:c>
      <x:c r="T56" s="5" t="str">
        <x:v>mp.weixin.qq.com
www.ntldhk.com
finance.people.com.cn
www1.hkexnews.hk
mp.weixin.qq.com
m.39.net
qionghai.hainan.gov.cn
www.bjnews.com.cn
mp.weixin.qq.com
finance.people.com.cn
www.by-health.com
www.cnpp.cn
mp.weixin.qq.com
www.sport.org.cn
m.bjnews.com.cn
baike.baidu.com
www.toutiao.com
m.cnpinpai.cn
www.yhqplus.com
bitong.cn
news.miaoshou.com
imgs.xinhuanet.com
mp.weixin.qq.com
mp.weixin.qq.com
www.mevionchina.com
baike.baidu.com
www.ysxw.cn
mp.weixin.qq.com
share-plus.huaihai.tv
www.yszyapp.cn
www.toutiao.com
mp.weixin.qq.com
baike.baidu.com
baike.baidu.com
sports.sina.com.cn
www.cnpp.cn</x:v>
      </x:c>
      <x:c r="U56" s="5" t="str">
        <x:v>是</x:v>
      </x:c>
      <x:c r="V56" s="5" t="str"/>
      <x:c r="W56" s="5" t="str">
        <x:v>https://yuanbao.tencent.com/chat/naQivTmsDa/0QnvbIslpFg</x:v>
      </x:c>
      <x:c r="X56" s="5" t="n">
        <x:v>36</x:v>
      </x:c>
      <x:c r="Y56" s="5" t="str">
        <x:v>是</x:v>
      </x:c>
    </x:row>
    <x:row r="57" ht="34" customHeight="1">
      <x:c r="A57" s="5" t="str">
        <x:v>Q16</x:v>
      </x:c>
      <x:c r="B57" s="5" t="str">
        <x:v>除了乳清蛋白，还有哪些适合健身人群的蛋白来源？</x:v>
      </x:c>
      <x:c r="C57" s="5" t="str">
        <x:v>品牌竞争</x:v>
      </x:c>
      <x:c r="D57" s="5" t="str">
        <x:v>元宝</x:v>
      </x:c>
      <x:c r="E57" s="5" t="str">
        <x:v>自然</x:v>
      </x:c>
      <x:c r="F57" s="5" t="str">
        <x:v>2026/9/28 15:40:05</x:v>
      </x:c>
      <x:c r="G57" s="5" t="str">
        <x:v>有效</x:v>
      </x:c>
      <x:c r="H57" s="5" t="str">
        <x:v>除乳清蛋白外，适合健身人群的蛋白来源还有很多。乳清只是方便，不等于天然食物不好；增肌真正重要的是全天总蛋白质、氨基酸是否齐全，以及是否分散到各餐。
1. 动物性来源：吸收利用率通常较高
来源
适合场景
主要优势
注意点
鸡蛋、蛋羹​
日常主力、早餐
氨基酸组成好，性价比高，蛋黄含胆碱等营养
一般健康人不必只吃蛋白，全蛋更有营养
鸡胸、去皮鸡腿、火鸡肉​
增肌、减脂
蛋白密度高、脂肪相对较低、烹饪方便
避免长期只吃油炸、裹厚粉的鸡排
鱼虾、虾、贝类​
减脂、备赛、日常恢复
蛋白质高，脂肪通常较低，海鱼还提供 omega-3
少油煎、清蒸或水煮更合适
瘦牛肉、瘦猪肉、牛里脊、猪里脊​
力量训练
提供完整氨基酸、铁、锌和肌酸
选瘦肉，少肥牛卷、培根、香肠
牛奶、无糖酸奶、希腊酸奶​
早餐、加餐、训练后
方便、含钙，酸奶通常乳糖更低
普通酸奶蛋白质可能不高，优先选无糖高蛋白款
奶酪、低脂蛋白干酪​
加餐、快手补充
蛋白质集中，便携
钠和脂肪可能较高，需看营养标签
酪蛋白粉​
睡前或两餐间隔较长
消化慢，氨基酸释放较持久
仍是牛奶来源，乳糖不耐受或牛奶过敏者可能不适合
其中，鸡蛋、牛奶、多数肉类和鱼类的必需氨基酸质量较高；鸡蛋蛋白在营养评价中常被作为优质蛋白参照。 牛奶中除了乳清，还有酪蛋白，吸收较慢，适合睡前或作为缓释蛋白，但不适合牛奶蛋白过敏者。
2. 植物性来源：同样有效，重点是搭配和份量
大豆制品：植物蛋白里的优先选择
•
豆腐、老豆腐、豆干
•
无糖豆浆、豆腐脑
•
毛豆、纳豆、豆豉
•
大豆分离蛋白粉
大豆属于完整植物蛋白，含有全部必需氨基酸，并富含亮氨酸，对训练人群比较实用；研究显示大豆分离蛋白的蛋白质消化率校正氨基酸评分可与部分动物蛋白相当。
其他植物来源
•
豌豆蛋白粉：低乳糖、不过敏于大豆时也可考虑，蛋氨酸相对较少，适合与谷物来源搭配。
•
鹰嘴豆、扁豆、黑豆、芸豆：蛋白加膳食纤维丰富，适合增肌时作为正餐碳水蛋白来源。
•
藜麦：属于完整植物蛋白，但蛋白密度不算特别高。
•
花生、杏仁、南瓜子、奇亚籽：能提供蛋白质和脂肪，但蛋白密度与肉蛋奶不同，不能单靠一把坚果完成训练餐目标。
纯植物饮食要达到同等必需氨基酸和亮氨酸，通常需要摄入更多总量，并注意搭配豆类与谷物；例如豆类补足赖氨酸，谷物补足蛋氨酸。
3. 各训练场景怎么选
训练后
优先选择能快速补充、蛋白质含量明确的来源：
•
乳清蛋白替代品：鸡蛋、希腊酸奶、牛奶、无糖高蛋白饮品、大豆蛋白粉、豌豆蛋白粉
•
搭配适量主食，有助于恢复糖原
•
不必迷信“训练后30分钟内”，训练前后数小时内补充通常更重要
睡前
希望氨基酸供应慢一些，可选：
•
牛奶或酸奶
•
酪蛋白粉
•
希腊酸奶配少量燕麦
•
豆腐、豆干等豆制品
减脂期
更适合高蛋白质、相对低能量密度的组合：
•
鸡胸、虾、鱼、瘦牛肉
•
鸡蛋、蛋白与全蛋混合
•
无糖希腊酸奶
•
老豆腐、豆干
•
水浸金枪鱼、低脂干酪
但要注意：无糖不等于高蛋白，购买酸奶、植物奶和蛋白粉时看每份蛋白质和添加糖。
4. 一天可以这样安排
以一位 70公斤、目标每天约112～140克蛋白质​ 的训练者为例：
•
早餐：2个全蛋＋300毫升牛奶＋适量燕麦
•
午餐：120～150克熟鸡胸或鱼＋一份杂粮饭
•
加餐：200～250克无糖希腊酸奶，或一杯豆浆配全麦面包
•
晚餐：120～150克豆腐/豆干＋100克瘦肉或鱼虾
•
睡前：牛奶或酸奶约200～300毫升
具体量仍要根据体重、训练量和总热量调整。对于多数规律进行力量训练的健康人，常见目标约为 每公斤体重1.6～2.0克蛋白质，相当于70公斤的人每天112～140克；但这不是越高越好，也不建议所有健身者无差别照搬。
一句话总结：乳糖不耐受优先鸡蛋、肉类、大豆或分离蛋白；素食者以大豆制品为锚，再用谷物、豆类和坚果补齐；普通训练者用“肉/蛋/奶/豆轮换”通常比只喝乳清更实用。若有肾功能异常、痛风或特殊疾病，应先由医生或营养师确定蛋白总量。</x:v>
      </x:c>
      <x:c r="I57" s="5" t="str">
        <x:v>否</x:v>
      </x:c>
      <x:c r="J57" s="5" t="str"/>
      <x:c r="K57" s="5" t="str"/>
      <x:c r="L57" s="5" t="str"/>
      <x:c r="M57" s="5" t="str"/>
      <x:c r="N57" s="5" t="str">
        <x:v>类型建议或无品牌</x:v>
      </x:c>
      <x:c r="O57" s="5" t="str"/>
      <x:c r="P57" s="5" t="str"/>
      <x:c r="Q57" s="5" t="str"/>
      <x:c r="R57" s="5" t="str">
        <x:v>健身吃什么蛋白粉好
食以安为先,养以衡为要——《中国居民膳食指南(2024)》深度科普解读
亮氨酸阈值:为什么每餐2.5-3克才是增肌的关键
你喝的高蛋白真的有吸收?營養師 1 分鐘挑選指南:成分､體質､預算
中国居民平衡膳食宝塔(2022)修订和解析
国际运动营养学会立场声明:蛋白质与运动
100克蛋白质的食物样本:完整的饮食计划 Nutrola
健身吃哪种蛋白质
学会科学摄入蛋白质
Effects of Pork Protein Ingestion Prior to and Following Performing the Army Combat Fitness Test on Markers of Catabolism, Inflammation, and Recovery
普通人每天要摄入多少蛋白质?
健身吃什么蛋白粉
担心“吃肉长肉”会让身体缺少它
20 种常见食物的蛋白质含量数据
知吗?开门蛋白质补充选择题:蛋白粉是“捷径”,还是天然食物更靠谱?
你“吃对”蛋白质了吗
國際運動營養學會最新指南-蛋白質攝取和運動的 13 個觀點
宏观营养速查表:200种常见食品一览(蛋白质､碳水化合物､脂肪､热量)— 2026年参考
健身吃植物蛋白还是动物蛋白</x:v>
      </x:c>
      <x:c r="S57" s="5" t="str">
        <x:v>https://www.pingguolv.com/ask/HnFK77IKHI77.html
https://cloud.kepuchina.cn/h5/detail?id=7420965472208089088
https://www.aihavit.com/blog/zh/leucine-threshold-per-meal-muscle-protein-synthesis-2026
https://dailydietitian.com.tw/?p=5994/
https://dg.cnsoc.org/article/04/RMAbPdrjQ6CGWTwmo62hQg.html
http://mp.weixin.qq.com/s?__biz=MzU2MDcyMTcxOA==&amp;mid=2247487508&amp;idx=1&amp;sn=69a7a42a1831123f176cb6a742e55b19&amp;chksm=fd342c27c9c666256e9812272f032c6ba6362010c565f7265c512db2091c9c40e9e11df16e7b#rd
https://nutrola.app/zh/blog/what-does-100-grams-of-protein-look-like
https://m.bohe.cn/zx/1584048.html
https://epaper.lnzx.gov.cn/paper/pc/content/202608/28/content_9891.html
https://pmc.ncbi.nlm.nih.gov/articles/PMC12195741
http://mp.weixin.qq.com/s?src=11&amp;timestamp=1790581186&amp;ver=6993&amp;signature=ApxitQWyH*Ujrq-kRIoXlOmHS7Hs5qBeJS0oeVoau9Sjr4Njuz-GWfEFfYb*i6gnSuAk0lGgRmwANdlJVI7Mrtq7XHL0vgjxo6FH-DqSKjQiM-yZ3y0rL1i6jDLDmOox&amp;new=1
https://www.pingguolv.com/ask/b613DD1PRDy0.html
https://sxwjw.shaanxi.gov.cn/ywgz/gbbj/t_3454135.html
http://mp.weixin.qq.com/s?__biz=MzUzNDQ2NTQ2Nw==&amp;mid=2247483985&amp;idx=1&amp;sn=0f948ccd03c8f7e3ab8c1566aa44d586&amp;chksm=fb4979ae9ddaae63f7bc13518a248cc6fea53f9bee8fa92127e758b4372a298ba405f824626f#rd
https://www.kepuchina.cn/article/articleinfo?ar_id=686163&amp;business_type=100&amp;classify=0
https://www.cfnews.org.cn/newsinfo/11175157.html
https://www.pteam.com.tw/blogs/%E5%81%A5%E8%BA%AB%E7%A7%91%E5%AD%B8/118243
https://nutrola.app/zh/blog/macro-cheat-sheet-200-common-foods-protein-carbs-fat-reference-2026
https://m.bohe.cn/zxmip/1026161.html</x:v>
      </x:c>
      <x:c r="T57" s="5" t="str">
        <x:v>www.pingguolv.com
cloud.kepuchina.cn
www.aihavit.com
dailydietitian.com.tw
dg.cnsoc.org
mp.weixin.qq.com
nutrola.app
m.bohe.cn
epaper.lnzx.gov.cn
pmc.ncbi.nlm.nih.gov
mp.weixin.qq.com
www.pingguolv.com
sxwjw.shaanxi.gov.cn
mp.weixin.qq.com
www.kepuchina.cn
www.cfnews.org.cn
www.pteam.com.tw
nutrola.app
m.bohe.cn</x:v>
      </x:c>
      <x:c r="U57" s="5" t="str">
        <x:v>是</x:v>
      </x:c>
      <x:c r="V57" s="5" t="str"/>
      <x:c r="W57" s="5" t="str">
        <x:v>https://yuanbao.tencent.com/chat/naQivTmsDa/0QnveGym5PU</x:v>
      </x:c>
      <x:c r="X57" s="5" t="n">
        <x:v>19</x:v>
      </x:c>
      <x:c r="Y57" s="5" t="str">
        <x:v>否</x:v>
      </x:c>
    </x:row>
    <x:row r="58" ht="34" customHeight="1">
      <x:c r="A58" s="5" t="str">
        <x:v>Q17</x:v>
      </x:c>
      <x:c r="B58" s="5" t="str">
        <x:v>怡可纳是什么品牌？</x:v>
      </x:c>
      <x:c r="C58" s="5" t="str">
        <x:v>主动认知</x:v>
      </x:c>
      <x:c r="D58" s="5" t="str">
        <x:v>元宝</x:v>
      </x:c>
      <x:c r="E58" s="5" t="str">
        <x:v>主动</x:v>
      </x:c>
      <x:c r="F58" s="5" t="str">
        <x:v>2026/9/28 15:41:00</x:v>
      </x:c>
      <x:c r="G58" s="5" t="str">
        <x:v>有效</x:v>
      </x:c>
      <x:c r="H58" s="5" t="str">
        <x:v>怡可纳（YIKENA）​ 是一个国产运动营养与健康食品品牌。
品牌基本信息
•
所属公司：济南怡能食品科技有限公司（母公司为济南泉康生物科技有限公司，一家复配食品科技领域的高新技术企业）
•
创立时间：2017年3月
•
注册资金：2000万元
•
品牌发源地：山东济南章丘
•
定位：自主研发和销售的运动营养品牌
主要产品线
系列
代表产品
运动营养
酵母蛋白、肌酸、β-丙氨酸、氮泵、甜菜根粉、左旋肉碱
轻运动/体重管理
高因黑咖啡、液体蛋白饮、电解质泡腾片、代餐类
健康零食
黑巧脆脆球、益生菌零食、吐司面包
全家日常营养
益生菌、DHA藻油、钙铁锌、南极磷虾油、刺梨浓浆
品牌目前主要面向健身健美、有氧跳操、轻食控糖等场景，在国内主流电商平台（抖音、京东、天猫）均有自营旗舰店，销售复购稳定。
品牌特点
•
自有专业研发团队，搭建了完善的品控体系，拥有多项专利授权
•
与安琪酵母、帝斯曼（DSM）等原料供应商合作，采用十万级洁净车间标准化生产
•
近年从单纯的补剂销售，升级为"产品+营养陪伴服务"模式，提供1v1营养顾问、定制化膳食建议等
简单说：怡可纳是一个2017年起步的山东本土运动营养品牌，主打"高性价比+品质可控"，核心用户是健身人群和有日常营养补给需求的家庭。
如果你是想了解它某款具体产品（比如蛋白粉、肌酸）的品质或口碑，可以告诉我，我再帮你细查。</x:v>
      </x:c>
      <x:c r="I58" s="5" t="str">
        <x:v>不适用</x:v>
      </x:c>
      <x:c r="J58" s="5" t="str"/>
      <x:c r="K58" s="5" t="str"/>
      <x:c r="L58" s="5" t="str"/>
      <x:c r="M58" s="5" t="str">
        <x:v>怡可纳</x:v>
      </x:c>
      <x:c r="N58" s="5" t="str">
        <x:v>主动品牌认知</x:v>
      </x:c>
      <x:c r="O58" s="5" t="str">
        <x:v>怡可纳（YIKENA）​ 是一个国产运动营养与健康食品品牌。 品牌基本信息 • 所属公司：济南怡能食品科技有限公司（母公司为济南泉康生物科技有限公司，一家复配食品科技领域的高新技术企业） • 创立时间：2017年3月 • 注册资金：2000万元 • 品牌发源地：山东济南章丘 • 定位：自主研发和销售的运动营养品牌 主要产品线 系列 代表产品 运动营养 酵母蛋白、肌酸、β-丙氨酸、氮泵、甜菜根粉、左旋肉碱 轻运动/体重管理 高因黑咖啡、液</x:v>
      </x:c>
      <x:c r="P58" s="5" t="str">
        <x:v>正面</x:v>
      </x:c>
      <x:c r="Q58" s="5" t="str">
        <x:v>酵母蛋白、价格优势、运动/健身、专业/研发</x:v>
      </x:c>
      <x:c r="R58" s="5" t="str">
        <x:v>会员精品 泉康生物:致力成为复配食品科技行业的领跑者
服务焕新重新认识怡可纳
怡可纳品牌介绍
怡可纳</x:v>
      </x:c>
      <x:c r="S58" s="5" t="str">
        <x:v>http://mp.weixin.qq.com/s?__biz=MzkyOTM0ODY5Nw==&amp;mid=2247484556&amp;idx=1&amp;sn=9c4565fbb25828ae210cda6b6f062357&amp;chksm=c39e38605b880638ac2f02469e2d6e490ed1ac0f3f27119434b80199b991104bd0d62e0494de#rd
http://mp.weixin.qq.com/s?__biz=MzU4OTgxMTMyMA==&amp;mid=2247484714&amp;idx=1&amp;sn=411276139a9b6fd1a1b868c8ddb83b72&amp;chksm=fc51ad73de293903205ff606c3c76d47e2af14351826e8fe0a1e67bd9be616cbb04c117cb0fc#rd
https://www.fagua.net/brand-22369.html
https://mip.chinapp.com/pinpai/346905</x:v>
      </x:c>
      <x:c r="T58" s="5" t="str">
        <x:v>mp.weixin.qq.com
mp.weixin.qq.com
www.fagua.net
mip.chinapp.com</x:v>
      </x:c>
      <x:c r="U58" s="5" t="str">
        <x:v>是</x:v>
      </x:c>
      <x:c r="V58" s="5" t="str"/>
      <x:c r="W58" s="5" t="str">
        <x:v>https://yuanbao.tencent.com/chat/naQivTmsDa/0Qnvg6Y1gvo</x:v>
      </x:c>
      <x:c r="X58" s="5" t="n">
        <x:v>4</x:v>
      </x:c>
      <x:c r="Y58" s="5" t="str">
        <x:v>否</x:v>
      </x:c>
    </x:row>
    <x:row r="59" ht="34" customHeight="1">
      <x:c r="A59" s="5" t="str">
        <x:v>Q18</x:v>
      </x:c>
      <x:c r="B59" s="5" t="str">
        <x:v>怡可纳蛋白粉怎么样？</x:v>
      </x:c>
      <x:c r="C59" s="5" t="str">
        <x:v>主动认知</x:v>
      </x:c>
      <x:c r="D59" s="5" t="str">
        <x:v>元宝</x:v>
      </x:c>
      <x:c r="E59" s="5" t="str">
        <x:v>主动</x:v>
      </x:c>
      <x:c r="F59" s="5" t="str">
        <x:v>2026/9/28 15:41:22</x:v>
      </x:c>
      <x:c r="G59" s="5" t="str">
        <x:v>有效</x:v>
      </x:c>
      <x:c r="H59" s="5" t="str">
        <x:v>先说结论
怡可纳酵母蛋白粉属于价格较低、蛋白质含量中上的普通运动营养食品，适合预算有限、乳糖不耐受，或日常饮食蛋白质不足的人；但不是蓝帽保健食品，也没有治疗、降尿酸、增肌特效。它最明显的短板通常是溶解性一般、泡沫较多、口感比较“工业调味”，品牌方还曾因直播宣传“国内首家、更适合国人体质”等无法举证而被处罚。
优点
•
蛋白质含量尚可：主流款标注约 71克蛋白质/100克；不同口味营养表约为 75.6克/100克，建议以你手中罐体标签为准。
•
价格便宜：2磅常见约89元，5磅约189元，补蛋白成本较低。
•
不含乳糖：比普通乳清蛋白更适合乳糖不耐受者，但依然不能保证所有人肠胃都舒服。
•
属于合法酵母蛋白食品：酵母蛋白是经批准的新食品原料；经过脱核酸处理后，不能简单等同于普通高嘌呤酵母粉。
需要注意
1.
溶解和口感一般​
部分用户反馈有飞粉、轻微结块、泡沫多，静置后再轻摇会好一些；口味甜味、香精感明显。
2.
不要把它当“低嘌呤、治痛风”产品​
酵母蛋白经过脱核酸处理，嘌呤通常低于完整酵母，但不同产品具体数值并不透明。高尿酸或痛风人群如果想长期、较大剂量饮用，建议先查看产品检测资料，并结合血尿酸情况，由医生或营养师判断。
3.
肾功能异常者别自行大剂量补​
健康人按需求适量补充通常没问题；慢性肾病、肾功能异常或正在接受特殊治疗者，应遵医嘱使用。蛋白质摄入过多是所有蛋白粉的共同问题，并非酵母蛋白独有。
4.
宣传应打折看​
2026年3月，经营怡可纳官方旗舰店的公司因无法证明“国内首家”“更适合国人体质”“专业硕博团队”等直播宣传，被处以8万元罚款。产品可以正常买，但宣传文案不要直接当科学结论。
用量怎么把握？
普通人一般每公斤体重约需 1.0～1.2克蛋白质/天；规律健身、增肌人群可考虑 1.2～2.0克/公斤体重/天。例如70公斤规律健身者，总蛋白质目标约 84～140克/天，其中蛋白粉通常只负责补足饮食缺口，不用把整罐当饮料喝。
一句话判断：​
如果它的价格明显低于同类正规乳清蛋白，且你只是日常补蛋白、乳糖不耐受，可以买小包装试口味；如果你追求更好口感、更快溶解、成熟配方和长期口碑，同等预算建议优先对比明确标注乳清蛋白含量、配料完整、售后稳定的主流产品。高尿酸、肾病、孕妇、哺乳期及儿童不要仅凭直播推荐购买。</x:v>
      </x:c>
      <x:c r="I59" s="5" t="str">
        <x:v>不适用</x:v>
      </x:c>
      <x:c r="J59" s="5" t="str"/>
      <x:c r="K59" s="5" t="str"/>
      <x:c r="L59" s="5" t="str"/>
      <x:c r="M59" s="5" t="str">
        <x:v>怡可纳</x:v>
      </x:c>
      <x:c r="N59" s="5" t="str">
        <x:v>主动品牌认知</x:v>
      </x:c>
      <x:c r="O59" s="5" t="str">
        <x:v>先说结论 怡可纳酵母蛋白粉属于价格较低、蛋白质含量中上的普通运动营养食品，适合预算有限、乳糖不耐受，或日常饮食蛋白质不足的人；但不是蓝帽保健食品，也没有治疗、降尿酸、增肌特效。它最明显的短板通常是溶解性一般、泡沫较多、口感比较“工业调味”，品牌方还曾因直播宣传“国内首家、更适合国人体质”等无法举证而被处罚。 优点 • 蛋白质含量尚可：主流款标注约 71克蛋白质/100克；不同口味营养表约为 75.6克/100克，建议以你手中罐体标签为准。 • 价格便宜：2磅常见约8</x:v>
      </x:c>
      <x:c r="P59" s="5" t="str">
        <x:v>混合</x:v>
      </x:c>
      <x:c r="Q59" s="5" t="str">
        <x:v>酵母蛋白、价格优势、乳糖不耐场景、口感/冲泡体验、运动/健身、专业/研发</x:v>
      </x:c>
      <x:c r="R59" s="5" t="str">
        <x:v>怡可纳蛋白粉 - 淘宝精选
怡可纳蛋白粉 - 天猫精选
蛋白粉选购科普:长期蛋白补充 蛋白粉合规甄别标准与市场样本参考
有没有高性价比的蛋白粉?推荐一下
怡可纳蛋白粉 - 京东
怡可纳酵母蛋白粉
怡可纳品牌健身乳清蛋白粉怎么样-怡可纳品牌介绍､联系方式
买了桶便宜的怡可纳酵母蛋白粉
乳糖不耐受也能狂增肌?怡可纳蛋白粉实测真相了
服务焕新重新认识怡可纳
怡可纳简介
穷哥们福利,怡可纳酵母蛋白粉50元优惠券领取方法#蛋白粉 #强烈推荐 #健身补剂 #酵母蛋白粉
蛋白粉种类这么多 该如何选择?
虚假宣传“怡可纳”!济南怡能食品科技有限公司被罚8万元
为保持客观就不打分排名了,以上纯属十年补剂从业者的客观测评,后面有新酵母蛋白进市场,会随时更新!#酵母蛋白 #酵母蛋白大测评 #Allkeep酵母蛋白 #怡可纳酵母蛋白 #赛霸酵母蛋白
2026年蛋白粉高评分榜,哪些牌子蛋白粉大众好评多,口碑盘点
商品怡可纳 酵母蛋白粉 71%蛋白质 花生可可味 2.27kg摇摇杯
泉康生物:致力成为复配食品科技行业的领跑者
乳糖不耐受终于能喝蛋白粉了?酵母蛋白真实评测:不胀气是真还是噱头
怡可纳网址导航 - 精选健康食品资源大全
酵母蛋白:被误解的低嘌呤优质蛋白,科学认知亟待普及
营养不是靠一个“粉”就能解决问题!
“酵母蛋白”, 怎么成了香饽饽
酵母蛋白:被“正名”的低嘌呤优质蛋白——来自法规､工艺与临床证据的系统梳理
蛋白粉需要吃吗?先看看这篇“蛋白粉使用须知”
健康知识:蛋白粉你喝对了吗?
章丘区市场监管局发布食品安全领域突出问题专项整治(第三批)典型案例
被加进蛋白棒､代餐奶昔的酵母蛋白,到底是什么?
蛋白粉有没有副作用
食品虚假宣传如何处罚
宜昌“微”力量撬动营养新赛道 安琪酵母蛋白“入编”新国标</x:v>
      </x:c>
      <x:c r="S59" s="5" t="str">
        <x:v>https://uland.taobao.com/item/edetail?id=rbQZrQotOtVm2eX2ReHM5urCZ-NPvjWDCnDkqjzygcG
https://s.click.taobao.com/t?e=m%3D2%26s%3Da0g147OjsEtw4vFB6t2Z2ueEDrYVVa64yK8Cckff7TVRAdhuF14FMUANQxy0pbNM5x%2BIUlGKNpWbBjBh3LodcDtMDMUFdHxsEga%2Bn4dNFSFW2RGh2%2FLyNYVwhIsr1DlAgb9ZeSZXs4rQ5thPdhAOVKJlKpAVa%2BCMZ1dxGqu8quJKQqiC6JldGc6eShwAT45JDLbG%2FIw2mVm8wyuZHWJIRs7MnDRT%2BiAwbyt66VQbQpL06ZUwfAlYFA6jil%2FEfrmTbkoc5A4PXY5AWnuNX9%2FTvSYCeslw%2Fy30gHp1FTZO1rPGDF1NzTQoPw%3D%3D&amp;union_lens=lensId:TAPI@1790581265@2166c47e_146b_1a0e6f5d631_b8a9@01
https://www.toutiao.com/article/7686821956049535514
https://waptieba.baidu.com/p/9819206187?
https://union-click.jd.com/jdc?e=&amp;p=JF8BAS4JK1olWAYEXFlVDk4XAV8IGlsWVQUKUFleDUwRAV9MRANLAjZbERscSkAJHTdNTwcKBlMdBgABFksWA2wAGFMRWgUHU1hfFxJSXzI4AUFTAgVUCyo9CjEQWG1LfyxgI1AAJFJROE8RAGkMGloUXjYCVV9cCUIfCmcKK18TMwdsVFdYZkwQVDsOT1wSDlYHVgpeCxgnA244WjUVXAIEUF5eDHsWM28OE1oRVAYBU1pVC0InA2cMK4y889CO8orkopylgV84K1glbTYCZF1tViUWBD9aHw4QX2heEAQUTAgTWwEKHVoSWwYEU25fCUoVAV84KwtmNAdBVSEmTDR-em5dYyURPE5LLV8IWCJwVmt6cjUXHFZqAyskaBNoSidIfyNzFEQyVG5eDkMeAV8JKw
https://pages.baidu.com/show?id=409ea0dca4846adb4366498e
https://m.chinapp.com/scpinpai/346905
https://post.smzdm.com/talk/p/a44m83ow/
http://mp.weixin.qq.com/s?__biz=MzkyMTcxMDMzMA==&amp;mid=2247483674&amp;idx=1&amp;sn=55801b6a24a241b2ee57fb85b0754a26&amp;chksm=c01c8347f572d7b8ecc9bad116684bca86541e28da8bb78ea322099b2d70087896b007c9a961#rd
http://mp.weixin.qq.com/s?__biz=MzU4OTgxMTMyMA==&amp;mid=2247484714&amp;idx=1&amp;sn=411276139a9b6fd1a1b868c8ddb83b72&amp;chksm=fc51ad73de293903205ff606c3c76d47e2af14351826e8fe0a1e67bd9be616cbb04c117cb0fc#rd
https://www.cnpp.cn/brand/1635897.html
https://post.smzdm.com/zz/p/awmpokvk/
http://mp.weixin.qq.com/s?__biz=Mzk0MTY4MTA2MA==&amp;mid=2247483761&amp;idx=1&amp;sn=b4d7485636b1b8ace32d9d845751a047&amp;chksm=c3cd1529adab8bc746b567d8da7992e65db553b1c762057680df09f31665c6b89e489ebb8d28#rd
http://mp.weixin.qq.com/s?__biz=MzYyMzM2MzI0OA==&amp;mid=2247491642&amp;idx=4&amp;sn=e5ec0c4f4bef22ff2c2e36360b4c4bd5&amp;chksm=fea487caedabd5ee2af4c40397731234ee4931ca81c5c776df7a748ff5c5afe3461029216716#rd
https://post.m.smzdm.com/zz/p/aqk3pn8v
https://m.toutiao.com/article/7681582346449011215
https://wiki.smzdm.com/p/6pqmepd/
http://spcjh.com/index.php?id=278
https://post.smzdm.com/p/a6zozzxg
https://www.cnnav.com/sites/153977.html
https://www.kepuchina.cn/article/articleinfo?ar_id=656689&amp;business_type=100&amp;classify=0
https://m.gmw.cn/2026-02/27/content_1304357064.htm
http://mp.weixin.qq.com/s?__biz=MjM5Njk5NDEyMQ==&amp;mid=2654613020&amp;idx=3&amp;sn=d9f5b23bd3e02225eb930e8f4eec8547&amp;chksm=bc5904ebac81f0b73b85621f03913a66bc07a04e532164135d324e725bb30f91d90d56daff22#rd
https://shipin.sdnews.com.cn/sppp/202511/t20251128_4608247.htm
https://wjw.beijing.gov.cn/bmfw_20143/jkzs/jksh/202211/t20221111_2856899.html
http://mp.weixin.qq.com/s?src=11&amp;timestamp=1790581271&amp;ver=6993&amp;signature=Cv1NmWW7bNJXgqHZGy89o53iLlaKdJV2VfZkfBgxAxqWmFvdTsSPzru16bOwZLQMd*tMUxfmxu0DN8cBXkOLMBLYlTIEZA5tAp5KM7GVxWJr6PTkLSwQYF1-vlYCMfqr&amp;new=1
https://iapp.jnzqnews.cn/share/YS0xOTUtNDQyNTc5NTM.html
http://mp.weixin.qq.com/s?__biz=MjM5ODA1OTM0Mg==&amp;mid=2650346904&amp;idx=1&amp;sn=153ca7695ea64df65d551b671bc8b665&amp;chksm=bfcaed9a4f0b84ae0cfa81673ae41bbee44a9f042cc813f55cf805878f6a98c438722faef46e#rd
https://m.fh21.com.cn/article/view/1400340.html
https://m.66law.cn/question/56580947.aspx
http://gzw.yichang.gov.cn/content-40899-17845-1.html</x:v>
      </x:c>
      <x:c r="T59" s="5" t="str">
        <x:v>uland.taobao.com
s.click.taobao.com
www.toutiao.com
waptieba.baidu.com
union-click.jd.com
pages.baidu.com
m.chinapp.com
post.smzdm.com
mp.weixin.qq.com
mp.weixin.qq.com
www.cnpp.cn
post.smzdm.com
mp.weixin.qq.com
mp.weixin.qq.com
post.m.smzdm.com
m.toutiao.com
wiki.smzdm.com
spcjh.com
post.smzdm.com
www.cnnav.com
www.kepuchina.cn
m.gmw.cn
mp.weixin.qq.com
shipin.sdnews.com.cn
wjw.beijing.gov.cn
mp.weixin.qq.com
iapp.jnzqnews.cn
mp.weixin.qq.com
m.fh21.com.cn
m.66law.cn
gzw.yichang.gov.cn</x:v>
      </x:c>
      <x:c r="U59" s="5" t="str">
        <x:v>是</x:v>
      </x:c>
      <x:c r="V59" s="5" t="str"/>
      <x:c r="W59" s="5" t="str">
        <x:v>https://yuanbao.tencent.com/chat/naQivTmsDa/0QnvkCGrbVI</x:v>
      </x:c>
      <x:c r="X59" s="5" t="n">
        <x:v>31</x:v>
      </x:c>
      <x:c r="Y59" s="5" t="str">
        <x:v>否</x:v>
      </x:c>
    </x:row>
    <x:row r="60" ht="34" customHeight="1">
      <x:c r="A60" s="5" t="str">
        <x:v>Q19</x:v>
      </x:c>
      <x:c r="B60" s="5" t="str">
        <x:v>怡可纳酵母蛋白值得买吗？</x:v>
      </x:c>
      <x:c r="C60" s="5" t="str">
        <x:v>主动认知</x:v>
      </x:c>
      <x:c r="D60" s="5" t="str">
        <x:v>元宝</x:v>
      </x:c>
      <x:c r="E60" s="5" t="str">
        <x:v>主动</x:v>
      </x:c>
      <x:c r="F60" s="5" t="str">
        <x:v>2026/9/28 15:41:49</x:v>
      </x:c>
      <x:c r="G60" s="5" t="str">
        <x:v>有效</x:v>
      </x:c>
      <x:c r="H60" s="5" t="str">
        <x:v>结论：可以买，但更适合乳糖不耐受、素食或预算敏感的人
如果你只是想补充蛋白质，日常喝乳清粉不会腹胀、腹泻，也没有价格压力，那么乳清蛋白仍是更稳妥的首选。
怡可纳酵母蛋白粉的核心优势，不是“科技含量更高”，而是：
•
不含乳糖、不含乳制品，乳糖不耐受人群更容易接受
•
蛋白质含量约 71%～75.6%/100g
•
酵母蛋白是完整蛋白，PDCAAS可达1.0，营养质量接近乳清
•
价格通常明显低于普通乳清蛋白，适合做长期“口粮粉”
•
若购买氨糖版本，还额外加入N-乙酰氨基葡萄糖，但产品仍属于普通固体饮料，不能据此宣称改善关节
常见无氨糖版本的标签约为：每100g含蛋白质71g、脂肪9.9g、碳水化合物4.9g；氨糖版本约75.6g蛋白质、脂肪9.3g、碳水9.1g、钠181mg，具体以桶身标签和口味为准。
不适合什么人？
不建议给婴幼儿、孕妇、哺乳期女性、肾功能异常或痛风急性发作期人群自行拿它当常规补剂；酵母过敏体质也要谨慎。
购买判断
建议买：
•
喝乳清容易腹胀、腹泻
•
想选无奶、低乳糖蛋白来源
•
日常饮食蛋白质不足，主要图方便和便宜
•
5磅装实际到手价在合理范围，且接受静置后可能有少量沉淀
不建议买：
•
你只是因为“宣传更先进”而想替换乳清
•
非常在意顺滑口感，不能接受酵母味、泡沫或沉淀
•
需要高蛋白加餐，却买到碳水、钠偏高的复配版本
•
指望它治疗乳糖不耐受、改善尿酸或修复关节
一句话建议：拿它当“肠胃友好、便宜的高蛋白粉”是合理的；不要因为“酵母蛋白”四个字就默认它全面优于乳清。购买前先看清是普通酵母蛋白还是氨糖复配版，第一次买尽量选小包装或试喝装。</x:v>
      </x:c>
      <x:c r="I60" s="5" t="str">
        <x:v>不适用</x:v>
      </x:c>
      <x:c r="J60" s="5" t="str"/>
      <x:c r="K60" s="5" t="str"/>
      <x:c r="L60" s="5" t="str"/>
      <x:c r="M60" s="5" t="str">
        <x:v>怡可纳</x:v>
      </x:c>
      <x:c r="N60" s="5" t="str">
        <x:v>主动品牌认知</x:v>
      </x:c>
      <x:c r="O60" s="5" t="str">
        <x:v>如果你只是想补充蛋白质，日常喝乳清粉不会腹胀、腹泻，也没有价格压力，那么乳清蛋白仍是更稳妥的首选。 怡可纳酵母蛋白粉的核心优势，不是“科技含量更高”，而是： • 不含乳糖、不含乳制品，乳糖不耐受人群更容易接受 • 蛋白质含量约 71%～75.6%/100g • 酵母蛋白是完整蛋白，PDCAAS可达1.0，营养质量接近乳清 • 价格通常明显低于普通乳清蛋白，适合做长期“口粮粉” • 若购买氨糖版本，还额外加入N-乙酰氨基葡萄糖，但产品仍属于普通固体饮料，不能据此宣称改善关节 常见无氨糖版本的标签约为：每100g含蛋白质71g、脂肪9.9g、碳水化合物4.9</x:v>
      </x:c>
      <x:c r="P60" s="5" t="str">
        <x:v>混合</x:v>
      </x:c>
      <x:c r="Q60" s="5" t="str">
        <x:v>酵母蛋白、价格优势、乳糖不耐场景、口感/冲泡体验</x:v>
      </x:c>
      <x:c r="R60" s="5" t="str">
        <x:v>怡可纳酵母蛋白 - 淘宝精选
酵母粉的热量和营养信息
认识酵母蛋白:第三类优质蛋白原料
怡可纳酵母蛋白 - 淘宝精选
商品怡可纳 酵母蛋白粉 71%蛋白质 花生可可味 2.27kg摇摇杯
酵母蛋白入列固体饮料新国标,微生物蛋白赛道加速扩容
怡可纳酵母蛋白 - 京东
市面上常见蛋白粉种类分析报告
安琪AnPro
怡可纳酵母蛋白粉
酵母蛋白粉
一文读懂酵母蛋白7大核心问答:非转基因､低嘌呤､PDCAAS1.0,优质完全蛋白全解析
补剂大作战 7.14好价
乳糖不耐受也能狂增肌?怡可纳蛋白粉实测真相了
宜昌“微”力量撬动营养新赛道 安琪酵母蛋白“入编”新国标
乳糖不耐受终于能喝蛋白粉了?酵母蛋白真实评测:不胀气是真还是噱头
蛋白新宠:酵母蛋白大揭秘!
怡可纳氨糖蛋白粉适合跑步人群吗?2026年非乳清蛋白补剂有哪些新变化?
蛋白粉选购科普:长期蛋白补充 蛋白粉合规甄别标准与市场样本参考
产品概述
今日优质产品推送
怡可纳
怡可纳酵母蛋白粉健身高蛋白质粉运动非乳清蛋白粉官方旗舰店正品
产品概述
怡可纳酵母蛋白粉5磅2磅官方旗舰店正品健身健肌营养非乳清蛋白粉
今年双十一第一单,给到怡可纳酵母蛋白粉｡对比乳清蛋白粉便宜太多,蛋白质含量区别不大,原料来自于安琪孝母,是国产上市公司｡
一份靠谱的氨糖选购建议,应该主动告诉你哪些结论不能轻易下
怡可纳 酵母蛋白粉 71%蛋白质 绿豆沙口味 2.27kg摇摇杯</x:v>
      </x:c>
      <x:c r="S60" s="5" t="str">
        <x:v>https://uland.taobao.com/item/edetail?id=p8pgWdKsxt6wyjyMeRuDpC6Cm-xjJNVMCOM5QWQZrt4Y
https://www.fatsecret.cn/%E7%83%AD%E9%87%8F%E8%90%A5%E5%85%BB/search?q=%E9%85%B5%E6%AF%8D%E7%B2%89
http://mp.weixin.qq.com/s?src=11&amp;timestamp=1790581287&amp;ver=6993&amp;signature=hO3ZDCqQ8457-uKyKVSGJyhdhCw3t89AVGsJGBLPm--fZOVM6BW0roGG*FrFzwlDnF3sqr*mjBLqpvZFOAb8p-2AXcla*FoWtx3P2BMqaGNBg6rdP0mCOd4rhcDj8Lqw&amp;new=1
https://uland.taobao.com/item/edetail?id=rbQZrQotOtVm2eX2ReHM5urCZ-NPvjWDCnDkqjzygcG&amp;skuId=6046348095557
https://wiki.smzdm.com/p/6pqmepd/
https://www.sjgle.com/article/article_id/150250.html
https://union-click.jd.com/jdc?e=&amp;p=JF8BAS4JK1olWAYEXFlVDk4XAV8IGlgXXAIBV1hbD04VBF9MRANLAjZbERscSkAJHTdNTwcKBlMdBgABFksWAG0JH1gWWwAFUVxaFxJSXzI4Sy5KC0NbPAE-aRtIQAdjXRJwVEVhJFJROE8RAGkMGloUXjYCVV9cCUIfCmcKK18TMwdsVFdYZhxABG1cSVkVD1ULUl8OWxknA244WjUVXAIEUF5eDHsWM28OE1oRVAYBXVhdAUMnA2cMK4y889CO8orkopylgV84K1glbTYCZF1tViUWBGpdSQhHCGheEAQUT01MSgEKHVscXQ8LU25fCUoVAV84KzBtOGUHN1gpTxxfBQwPSD9NLXNaUj1aQRFxXjRPfjUXKHFSFhdUAStzWChwbB9rJWMyVG5eDkMeAV8JKw
https://post.m.smzdm.com/p/avd8qxv4/
https://baike.baidu.com/item/%E5%AE%89%E7%90%AAAnPro/65007547
https://pages.baidu.com/show?id=409ea0dca4846adb4366498e
https://www.fatsecret.cn/%E7%83%AD%E9%87%8F%E8%90%A5%E5%85%BB/%E6%80%A1%E5%8F%AF%E7%BA%B3/%E9%85%B5%E6%AF%8D%E8%9B%8B%E7%99%BD%E7%B2%89/100%E5%85%8B
https://www.angelyeast.com/info/1755.html
http://mp.weixin.qq.com/s?src=11&amp;timestamp=1790581287&amp;ver=6993&amp;signature=nZM1W81beoV3v3rEXMPjj6o33DjGPUpW4f9Cp1l63IFoUgp2ByAsFKb6lzBEFUDml0bUDk7w-5wIx7UfkJu5hEmG*UMWiF5MPwXQElJ2RmEQE3ry48Qeggj1OpVvc4U9&amp;new=1
http://mp.weixin.qq.com/s?__biz=MzkyMTcxMDMzMA==&amp;mid=2247483674&amp;idx=1&amp;sn=55801b6a24a241b2ee57fb85b0754a26&amp;chksm=c01c8347f572d7b8ecc9bad116684bca86541e28da8bb78ea322099b2d70087896b007c9a961#rd
http://gzw.yichang.gov.cn/content-40899-17845-1.html
https://post.smzdm.com/p/a6zozzxg
http://mp.weixin.qq.com/s?__biz=MjM5MzQxMzMwMg==&amp;mid=2655394541&amp;idx=3&amp;sn=52a72b292eaa27b645183ddd37dc5238&amp;chksm=bce32ea44f9ecf676159932bab41391238741a933b29f7d5565f94cf146be369e59f2c992bca#rd
https://bk.taobao.com/k/rouchang_5752/9eb3a92f9e637caa0e6954579860b4a4.html
https://www.toutiao.com/article/7686821956049535514
https://co.iherb.com/pr/doctor-s-best-vegan-glucosamine-180-veggie-caps/69821
http://mp.weixin.qq.com/s?__biz=MzI0MTU3NzY0MA==&amp;mid=2247495185&amp;idx=2&amp;sn=a01563a1d8b36d3581edbf7dec2cc0ab&amp;chksm=e8dc91b832987663c4f24f9c97de9642e0149909ebd250d9b2867fe35038946dbb8e178cabe1#rd
https://www.fatsecret.cn/%E7%83%AD%E9%87%8F%E8%90%A5%E5%85%BB/%E6%80%A1%E5%8F%AF%E7%BA%B3
https://taouq.com/id-nPvg2dqTMt39zbMWDxTkkDt0tP-jdZqqnCX7NaOPAKFw/
https://np.iherb.com/pr/kos-organic-luminous-blue-spirulina-powder-1-4-oz-40-g/106728
https://tao.hooos.com/goods_Qqgp4zUQtB5KzVVqKSXQXuatQ-2RmPPyF6rVxdWpXHv.html
https://www.sina.cn/news/detail/5231207862506997.html
https://www.sxxynews.com.cn/article/316301788336230.shtml
https://www.smzdm.com/p/179533910/</x:v>
      </x:c>
      <x:c r="T60" s="5" t="str">
        <x:v>uland.taobao.com
www.fatsecret.cn
mp.weixin.qq.com
uland.taobao.com
wiki.smzdm.com
www.sjgle.com
union-click.jd.com
post.m.smzdm.com
baike.baidu.com
pages.baidu.com
www.fatsecret.cn
www.angelyeast.com
mp.weixin.qq.com
mp.weixin.qq.com
gzw.yichang.gov.cn
post.smzdm.com
mp.weixin.qq.com
bk.taobao.com
www.toutiao.com
co.iherb.com
mp.weixin.qq.com
www.fatsecret.cn
taouq.com
np.iherb.com
tao.hooos.com
www.sina.cn
www.sxxynews.com.cn
www.smzdm.com</x:v>
      </x:c>
      <x:c r="U60" s="5" t="str">
        <x:v>是</x:v>
      </x:c>
      <x:c r="V60" s="5" t="str"/>
      <x:c r="W60" s="5" t="str">
        <x:v>https://yuanbao.tencent.com/chat/naQivTmsDa/0QnvlpUZ3Dc</x:v>
      </x:c>
      <x:c r="X60" s="5" t="n">
        <x:v>28</x:v>
      </x:c>
      <x:c r="Y60" s="5" t="str">
        <x:v>否</x:v>
      </x:c>
    </x:row>
    <x:row r="61" ht="34" customHeight="1">
      <x:c r="A61" s="5" t="str">
        <x:v>Q20</x:v>
      </x:c>
      <x:c r="B61" s="5" t="str">
        <x:v>怡可纳和其他蛋白粉品牌相比有什么特点？</x:v>
      </x:c>
      <x:c r="C61" s="5" t="str">
        <x:v>主动认知</x:v>
      </x:c>
      <x:c r="D61" s="5" t="str">
        <x:v>元宝</x:v>
      </x:c>
      <x:c r="E61" s="5" t="str">
        <x:v>主动</x:v>
      </x:c>
      <x:c r="F61" s="5" t="str">
        <x:v>2026/9/28 15:42:09</x:v>
      </x:c>
      <x:c r="G61" s="5" t="str">
        <x:v>有效</x:v>
      </x:c>
      <x:c r="H61" s="5" t="str">
        <x:v>怡可纳最鲜明的特点，是它把重点放在“酵母蛋白”和场景化配方，而不只是追求乳清蛋白纯度。​ 怡可纳有乳清蛋白产品，但目前讨论较多的酵母蛋白粉，核心卖点包括：
对比维度
怡可纳酵母蛋白粉
常见乳清蛋白品牌
汤臣倍健等双蛋白/家庭营养粉
蛋白来源
酵母蛋白，属于非乳清、非大豆路线
浓缩、分离或水解乳清蛋白
乳清＋大豆，或其他动植物蛋白组合
蛋白质含量
常见规格约 71%～75.6%​
中端复合乳清约70%～80%，分离乳清通常更高
不同产品差异很大，家庭型往往偏低
乳糖情况
本身不含乳源蛋白，乳糖不耐受者更容易接受
含乳蛋白；即使是“分离乳清低乳糖”，仍不适合牛奶蛋白过敏者
通常含乳成分，过敏或乳糖不耐需特别筛选
吸收特点
氨基酸谱较完整，但支链氨基酸尤其是亮氨酸通常低于优质乳清
亮氨酸、吸收速度及刺激肌肉蛋白合成方面通常更有优势
更偏基础营养补充，通常不主打高强度训练后快速补剂
配方特点
部分产品会复配氨糖等运动营养成分，口味选择多
大多围绕乳清原料、纯度、添加酶或益生菌展开
通常强调全家适用、营养均衡
价格
活动价通常比较便宜，主打大包装口粮粉
品牌、乳清等级和进口税费对价格影响较大
品牌溢价及渠道差异明显
更适合谁
乳糖不耐、不喜欢乳清味道、预算有限、普通运动及日常补充人群
力量训练、增肌、追求单位克蛋白质性价比和快速吸收的人群
日常饮食蛋白不足、中老年家庭营养管理人群
主要局限
溶解性、酵母风味接受度因人而异；高训练量人群的亮氨酸优势不如乳清
部分人喝后腹胀、腹泻；价格相对更高
蛋白含量未必高，不适合单纯增肌补剂需求
怡可纳相关页面将其定位覆盖健身运动、轻运动和全家日常补给；其酵母蛋白粉公开规格约 908克/桶、蛋白质约71%，另有氨糖版本营养成分表显示每100克含蛋白质约 75.6克，配料主要为酵母蛋白、香精和三氯蔗糖。
怎么理解“更优”
•
不是乳清，不等于吸收一定更好。​ 酵母蛋白的优势主要是非乳清来源、乳糖含量低、性价比高；但对以增肌为主要目标的人，乳清蛋白通常在亮氨酸含量和吸收速度上更有优势。
•
蛋白含量要看“每100克产品”，也要看“每勺实际蛋白质”。​ 71%并不意味着每次舀一勺就摄入71克，实际要看建议用量。
•
不要因为“非乳清”就默认为低敏。​ 怡可纳产品标签明确提示含有酵母制品，酵母过敏或痛风、尿酸异常者，应先咨询医生或营养师。
•
家庭营养补充和高强度增肌，是两种需求。​ 如果主要给中老年人日常补营养，怡可纳酵母粉不一定比正规双蛋白家庭营养粉更合适；如果是力量训练且乳糖不耐，它才更值得考虑。
一句话结论：怡可纳酵母蛋白粉属于“非乳清、较高蛋白、口味多、价格亲民的国产口粮型蛋白粉”；相比传统乳清品牌，它更适合乳糖不耐和日常补充，但如果你最看重增肌效率、亮氨酸供给和训练后吸收，优质乳清或分离乳清通常更合适。</x:v>
      </x:c>
      <x:c r="I61" s="5" t="str">
        <x:v>不适用</x:v>
      </x:c>
      <x:c r="J61" s="5" t="str"/>
      <x:c r="K61" s="5" t="str"/>
      <x:c r="L61" s="5" t="str"/>
      <x:c r="M61" s="5" t="str">
        <x:v>怡可纳、汤臣倍健</x:v>
      </x:c>
      <x:c r="N61" s="5" t="str">
        <x:v>主动品牌认知</x:v>
      </x:c>
      <x:c r="O61" s="5" t="str">
        <x:v>怡可纳最鲜明的特点，是它把重点放在“酵母蛋白”和场景化配方，而不只是追求乳清蛋白纯度。​ 怡可纳有乳清蛋白产品，但目前讨论较多的酵母蛋白粉，核心卖点包括： 对比维度 怡可纳酵母蛋白粉 常见乳清蛋白品牌 汤臣倍健等双蛋白/家庭营养粉 蛋白来源 酵母蛋白，属于非乳清、非大豆路线 浓缩、分离或水解乳清蛋白 乳清＋大豆，或其他动植物蛋白组合 蛋白质含量 常见规格约 71%～75.6%​ 中端复合乳清约70%～80%，分离乳清</x:v>
      </x:c>
      <x:c r="P61" s="5" t="str">
        <x:v>混合</x:v>
      </x:c>
      <x:c r="Q61" s="5" t="str">
        <x:v>酵母蛋白、价格优势、乳糖不耐场景、口感/冲泡体验、运动/健身</x:v>
      </x:c>
      <x:c r="R61" s="5" t="str">
        <x:v>补剂大作战 7.14好价
怡可纳蛋白粉 - 天猫精选
怡可纳酵母蛋白粉
2026年蛋白粉好物推荐,无添加香精的蛋白粉哪个更安心,安全检测 - 今日头条
怡可纳蛋白粉 - 淘宝精选
服务焕新重新认识怡可纳
蛋白粉选购科普:长期蛋白补充 蛋白粉合规甄别标准与市场样本参考
市面上常见蛋白粉种类分析报告
怡可纳氨糖蛋白粉适合跑步人群吗?2026年非乳清蛋白补剂有哪些新变化?
2026年蛋白粉销量清单,百元价位蛋白粉哪款能够闭眼入,好物盘点
商品怡可纳 酵母蛋白粉 71%蛋白质 花生可可味 2.27kg摇摇杯
怡可纳酵母乳清蛋白粉适合健身运动男性使用吗?
乳糖不耐受也能狂增肌?怡可纳蛋白粉实测真相了
蛋白粉种类这么多 该如何选择?
2026年蛋白粉热销推荐榜,热门蛋白粉牌子有哪些可以买,行业点评
YIKENA 怡可纳 乳清蛋白固体饮料 巧克力味 2磅
酵母蛋白粉
lucky1900的笔记 什么值得买
怡可纳酵母蛋白粉健身高蛋白质粉运动非乳清蛋白粉官方旗舰店正品
Optimum Nutrition Gold Standard Whey 2LBS
Eurial Ingredients &amp; Nutrition</x:v>
      </x:c>
      <x:c r="S61" s="5" t="str">
        <x:v>http://mp.weixin.qq.com/s?src=11&amp;timestamp=1790581315&amp;ver=6993&amp;signature=nZM1W81beoV3v3rEXMPjj6o33DjGPUpW4f9Cp1l63IFoUgp2ByAsFKb6lzBEFUDmBD3izO79KPiH5rwGQ7DHSTOOhlcuy-QagmbJCawy2DoJNQ3pJ*MYytf60v2g3nDX&amp;new=1
https://s.click.taobao.com/t?e=m%3D2%26s%3DV94P00Aun9xw4vFB6t2Z2ueEDrYVVa64yK8Cckff7TVRAdhuF14FMUANQxy0pbNM1aH1Hk3GeOibBjBh3LodcDtMDMUFdHxsEga%2Bn4dNFSFW2RGh2%2FLyNYVwhIsr1DlAgb9ZeSZXs4rQ5thPdhAOVKJlKpAVa%2BCMZ1dxGqu8quIUo1FgkutceFKjGR06z74kNjwFhF%2BngnpNWEMO9Sfd9c7MnDRT%2BiAwbyt66VQbQpL06ZUwfAlYFA6jil%2FEfrmTbkoc5A4PXY5AWnuNX9%2FTvSYCeslw%2Fy30gHp1FTZO1rPGDF1NzTQoPw%3D%3D&amp;union_lens=lensId:TAPI@1790581266@21279cf8_149a_1a0e6f5d688_2996@01
https://pages.baidu.com/show?id=409ea0dca4846adb4366498e
https://m.toutiao.com/article/7686333575239336474
https://uland.taobao.com/item/edetail?id=rbQZrQotOtVm2eX2ReHM5urCZ-NPvjWDCnDkqjzygcG
http://mp.weixin.qq.com/s?__biz=MzU4OTgxMTMyMA==&amp;mid=2247484714&amp;idx=1&amp;sn=411276139a9b6fd1a1b868c8ddb83b72&amp;chksm=fc51ad73de293903205ff606c3c76d47e2af14351826e8fe0a1e67bd9be616cbb04c117cb0fc#rd
https://www.toutiao.com/article/7686821956049535514
https://post.m.smzdm.com/p/avd8qxv4/
https://bk.taobao.com/k/rouchang_5752/9eb3a92f9e637caa0e6954579860b4a4.html
https://m.toutiao.com/article/7675915866752336424
https://wiki.smzdm.com/p/6pqmepd/
https://bk.taobao.com/k/bajiaogan_16427/124865f989081003e9dab5070cfcc1d9
http://mp.weixin.qq.com/s?__biz=MzkyMTcxMDMzMA==&amp;mid=2247483674&amp;idx=1&amp;sn=55801b6a24a241b2ee57fb85b0754a26&amp;chksm=c01c8347f572d7b8ecc9bad116684bca86541e28da8bb78ea322099b2d70087896b007c9a961#rd
http://mp.weixin.qq.com/s?__biz=Mzk0MTY4MTA2MA==&amp;mid=2247483761&amp;idx=1&amp;sn=b4d7485636b1b8ace32d9d845751a047&amp;chksm=c3cd1529adab8bc746b567d8da7992e65db553b1c762057680df09f31665c6b89e489ebb8d28#rd
http://www.dahenews.cn/dhnews/553037933.html
https://wiki.smzdm.com/p/5qr8e6o/canshu/
https://www.fatsecret.cn/%E7%83%AD%E9%87%8F%E8%90%A5%E5%85%BB/%E6%80%A1%E5%8F%AF%E7%BA%B3/%E9%85%B5%E6%AF%8D%E8%9B%8B%E7%99%BD%E7%B2%89/100%E5%85%8B
https://zhiyou.smzdm.com/member/5522062289/shaiwu/p2/
https://taouq.com/id-nPvg2dqTMt39zbMWDxTkkDt0tP-jdZqqnCX7NaOPAKFw/
https://www.trucare.com.np/product/diet-nepal-gold-standard-whey-2lbs/
https://www.champion-bio.com/tw/brand-detail/eurial/</x:v>
      </x:c>
      <x:c r="T61" s="5" t="str">
        <x:v>mp.weixin.qq.com
s.click.taobao.com
pages.baidu.com
m.toutiao.com
uland.taobao.com
mp.weixin.qq.com
www.toutiao.com
post.m.smzdm.com
bk.taobao.com
m.toutiao.com
wiki.smzdm.com
bk.taobao.com
mp.weixin.qq.com
mp.weixin.qq.com
www.dahenews.cn
wiki.smzdm.com
www.fatsecret.cn
zhiyou.smzdm.com
taouq.com
www.trucare.com.np
www.champion-bio.com</x:v>
      </x:c>
      <x:c r="U61" s="5" t="str">
        <x:v>是</x:v>
      </x:c>
      <x:c r="V61" s="5" t="str"/>
      <x:c r="W61" s="5" t="str">
        <x:v>https://yuanbao.tencent.com/chat/naQivTmsDa/0QnvnqRTTQu</x:v>
      </x:c>
      <x:c r="X61" s="5" t="n">
        <x:v>21</x:v>
      </x:c>
      <x:c r="Y61" s="5" t="str">
        <x:v>否</x:v>
      </x:c>
    </x:row>
    <x:row r="62" ht="34" customHeight="1">
      <x:c r="A62" s="5" t="str">
        <x:v>Q1</x:v>
      </x:c>
      <x:c r="B62" s="5" t="str">
        <x:v>酵母蛋白是什么？</x:v>
      </x:c>
      <x:c r="C62" s="5" t="str">
        <x:v>品类认知</x:v>
      </x:c>
      <x:c r="D62" s="5" t="str">
        <x:v>千问</x:v>
      </x:c>
      <x:c r="E62" s="5" t="str">
        <x:v>自然</x:v>
      </x:c>
      <x:c r="F62" s="5" t="str">
        <x:v>2026/9/28 15:14:22</x:v>
      </x:c>
      <x:c r="G62" s="5" t="str">
        <x:v>有效</x:v>
      </x:c>
      <x:c r="H62" s="5" t="str">
        <x:v>酵母蛋白是以酿酒酵母（Saccharomyces cerevisiae）为菌种，经发酵培养、离心收集菌体后，通过去除核酸、酶解、提取、纯化、灭菌、干燥等工艺制得的高蛋白原料，属于优质完全蛋白质。
核心特点
蛋白质含量高：干重蛋白质含量≥70.0g/100g，部分高端产品可达80%以上。
氨基酸组成优质：富含人体所需的全部9种必需氨基酸，氨基酸组成接近联合国粮农组织（FAO）推荐的理想模式，PDCAAS评分为1.0，DIAAS评分达0.95，接近乳清蛋白，优于大豆蛋白。
消化吸收率高：消化率可达96%，且具有"慢消化"特性，能延长饱腹感，有助于控制体重。
低嘌呤：经脱核酸工艺处理后，总嘌呤含量≤200mg/100g，多数产品实际嘌呤含量在15–50mg/100g之间，属于低嘌呤食品。
营养全面：富含B族维生素、生物结合态矿物质、膳食纤维（β-葡聚糖）等功能成分，几乎不含胆固醇，脂肪含量低。
审批与安全性
2023年12月，酵母蛋白被国家卫生健康委员会批准为新食品原料，是国内首个获批的微生物蛋白原料。 美国FDA和欧盟也已批准其作为营养补充剂或新食品原料使用，未设定食用限量。
需要注意的是，鉴于婴幼儿、孕妇及哺乳期妇女的食用安全性数据不足，上述人群不宜食用，产品标签需明确标注不适宜人群。
优势与应用
环保可持续：生产周期短，单位蛋白碳排放约为动物蛋白的1/20，水耗约为1/200，土地占用约为1/100。
无过敏原：不含乳糖、麸质、大豆及乳制品过敏原，适合素食主义者、乳糖不耐受者及牛奶蛋白过敏人群。
应用广泛：可用于蛋白补充剂、烘焙食品、运动营养品、饮料、冰淇淋等多种食品体系中。
简单来说，酵母蛋白是一种通过微生物发酵技术生产的新型优质蛋白来源，营养价值媲美乳清蛋白，同时兼具环保、低成本、无过敏原等优势，被视为未来蛋白质供给的重要方向之一。
要不要说说酵母蛋白"慢消化"特性的具体机制，以及它为什么能延长饱腹感？
好的，交给工作助理模式继续完成
酵母蛋白怎么来的</x:v>
      </x:c>
      <x:c r="I62" s="5" t="str">
        <x:v>否</x:v>
      </x:c>
      <x:c r="J62" s="5" t="str"/>
      <x:c r="K62" s="5" t="str"/>
      <x:c r="L62" s="5" t="str"/>
      <x:c r="M62" s="5" t="str"/>
      <x:c r="N62" s="5" t="str">
        <x:v>类型建议或无品牌</x:v>
      </x:c>
      <x:c r="O62" s="5" t="str"/>
      <x:c r="P62" s="5" t="str"/>
      <x:c r="Q62" s="5" t="str"/>
      <x:c r="R62" s="5" t="str">
        <x:v>首部酵母蛋白白皮书发布，国家战略级爆款原料真的来了！ - 食品频道
安琪酵母牵头申报的酵母蛋白获批新食品原料_凤凰网
安琪AnPro_百度百科
酵母蛋白到底好在哪？一文讲清
酵母蛋白 _ 百科
看不见的酵母，怎样改变一日三餐？ - 食品频道</x:v>
      </x:c>
      <x:c r="S62" s="5" t="str">
        <x:v>https://shipin.sdnews.com.cn/spts/202604/t20260424_4669406.htm
https://i.ifeng.com/c/8VA9ep32NDf
https://baike.baidu.com/item/%E5%AE%89%E7%90%AAAnPro/65007547
https://page.sm.cn/blm/node-page-new-995/index?h=medical.v1.quark.cn&amp;id=28_e1c58f8fdf22a82217940766a85d9f06
https://baike.sogou.com/v73037039.htm
https://shipin.sdnews.com.cn/spbj/202609/t20260923_4743762.htm</x:v>
      </x:c>
      <x:c r="T62" s="5" t="str">
        <x:v>shipin.sdnews.com.cn
i.ifeng.com
baike.baidu.com
page.sm.cn
baike.sogou.com
shipin.sdnews.com.cn</x:v>
      </x:c>
      <x:c r="U62" s="5" t="str">
        <x:v>是</x:v>
      </x:c>
      <x:c r="V62" s="5" t="str"/>
      <x:c r="W62" s="5" t="str">
        <x:v>https://www.qianwen.com/chat/de83d2a4990e463fb7f0fb2b09257a36</x:v>
      </x:c>
      <x:c r="X62" s="5" t="n">
        <x:v>6</x:v>
      </x:c>
      <x:c r="Y62" s="5" t="str">
        <x:v>否</x:v>
      </x:c>
    </x:row>
    <x:row r="63" ht="34" customHeight="1">
      <x:c r="A63" s="5" t="str">
        <x:v>Q2</x:v>
      </x:c>
      <x:c r="B63" s="5" t="str">
        <x:v>酵母蛋白和乳清蛋白有什么区别？</x:v>
      </x:c>
      <x:c r="C63" s="5" t="str">
        <x:v>品类认知</x:v>
      </x:c>
      <x:c r="D63" s="5" t="str">
        <x:v>千问</x:v>
      </x:c>
      <x:c r="E63" s="5" t="str">
        <x:v>自然</x:v>
      </x:c>
      <x:c r="F63" s="5" t="str">
        <x:v>2026/9/28 15:15:09</x:v>
      </x:c>
      <x:c r="G63" s="5" t="str">
        <x:v>有效</x:v>
      </x:c>
      <x:c r="H63" s="5" t="str">
        <x:v>酵母蛋白和乳清蛋白虽然都是优质蛋白，但在来源、吸收速度、营养特性、适用人群和价格上存在明显差异。简单来说，乳清蛋白是“快吸收”的增肌首选，而酵母蛋白是“缓释型”的高性价比替代，更适合特定人群和场景。
🔍 核心区别一览
表格
下载为表格
导出为图片
对比维度
酵母蛋白
乳清蛋白
来源	酿酒酵母（微生物发酵）	牛乳乳清（牛奶副产品）
吸收速度	中慢速消化，氨基酸平稳释放	快速吸收，30-60分钟达峰
蛋白质质量	PDCAAS=1.0，必需氨基酸占比略高	PDCAAS=1.0，亮氨酸含量更高
肠胃耐受	无乳糖，产气少，更温和	浓缩型含乳糖，可能引起不耐受
嘌呤含量	低嘌呤（经脱核酸工艺处理）	低嘌呤
附加营养	富含B族维生素、β-葡聚糖、锌硒	富含钙、钾
口感溶解	有酵母味/微苦，溶解性稍差	口感顺滑，溶解快
价格成本	约为乳清蛋白的1/3至1/2	较高，尤其进口产品
💡 如何选择？
选乳清蛋白更适合：
高强度训练后需要快速补充氨基酸、促进肌肉合成的人群
以增肌为核心目标的健身爱好者
肠胃功能正常、无乳糖不耐受问题
预算充足，追求口感和吸收速度
选酵母蛋白更适合：
乳糖不耐受或对牛奶过敏的人群
肠胃敏感、容易腹胀腹泻的人
素食者（酵母蛋白不含动物成分）
减脂期需要持久饱腹感的人群
中老年人日常基础蛋白补充
预算有限，追求高性价比的人群
高尿酸或痛风风险人群（选择脱核酸工艺的低嘌呤产品）
⚠️ 选购注意事项
看配料表：确认蛋白质含量（酵母蛋白≥70%，乳清蛋白70%-90%），警惕"多重蛋白"营销噱头
酵母蛋白选低核酸：确认核酸残留≤10%，避免高核酸摄入增加尿酸风险
口感预期：酵母蛋白普遍有颗粒感和微苦味，建议先购买试吃装
执行标准：乳清蛋白执行GB 24154《运动营养食品》标准；酵母蛋白多执行GB/T 29602《固体饮料》标准
总的来说，两者各有优势，选择哪种取决于你的具体需求、身体状况和预算。如果追求训练后的快速恢复和增肌效率，乳清蛋白仍是"金标准"；如果注重性价比、肠胃舒适或日常基础补充，酵母蛋白是非常不错的选择。
你主要是训练后补剂用，还是日常饮食补充？场景不同，推荐会不一样。</x:v>
      </x:c>
      <x:c r="I63" s="5" t="str">
        <x:v>否</x:v>
      </x:c>
      <x:c r="J63" s="5" t="str"/>
      <x:c r="K63" s="5" t="str"/>
      <x:c r="L63" s="5" t="str"/>
      <x:c r="M63" s="5" t="str"/>
      <x:c r="N63" s="5" t="str">
        <x:v>类型建议或无品牌</x:v>
      </x:c>
      <x:c r="O63" s="5" t="str"/>
      <x:c r="P63" s="5" t="str"/>
      <x:c r="Q63" s="5" t="str"/>
      <x:c r="R63" s="5" t="str">
        <x:v>谁是健身圈公认的“平替之王”，凭实力吊打乳清蛋白？ - 食品频道
蛋白新宠：酵母蛋白大揭秘！ - 食品频道
酵母蛋白：被忽视的低嘌呤“优等生”，痛风与健身人群的共同新选择 - 食品频道
高盛看安琪酵母：从卖酵母，到和乳清蛋白抢市场 | Foodaily每日食品
酵母蛋白vs乳清蛋白</x:v>
      </x:c>
      <x:c r="S63" s="5" t="str">
        <x:v>https://shipin.sdnews.com.cn/spts/202606/t20260617_4694225.htm
https://shipin.sdnews.com.cn/spts/202408/t20240814_4421645.htm
https://shipin.sdnews.com.cn/sppp/202511/t20251128_4608249.htm
https://foodaily.com/index.php/articles/42183
https://www.bilibili.com/video/BV1Xneg6MEQX</x:v>
      </x:c>
      <x:c r="T63" s="5" t="str">
        <x:v>shipin.sdnews.com.cn
shipin.sdnews.com.cn
shipin.sdnews.com.cn
foodaily.com
www.bilibili.com</x:v>
      </x:c>
      <x:c r="U63" s="5" t="str">
        <x:v>是</x:v>
      </x:c>
      <x:c r="V63" s="5" t="str"/>
      <x:c r="W63" s="5" t="str">
        <x:v>https://www.qianwen.com/chat/59ce3e5601dd433b999e422a6578eda8</x:v>
      </x:c>
      <x:c r="X63" s="5" t="n">
        <x:v>5</x:v>
      </x:c>
      <x:c r="Y63" s="5" t="str">
        <x:v>否</x:v>
      </x:c>
    </x:row>
    <x:row r="64" ht="34" customHeight="1">
      <x:c r="A64" s="5" t="str">
        <x:v>Q3</x:v>
      </x:c>
      <x:c r="B64" s="5" t="str">
        <x:v>酵母蛋白值得买吗？</x:v>
      </x:c>
      <x:c r="C64" s="5" t="str">
        <x:v>品类认知</x:v>
      </x:c>
      <x:c r="D64" s="5" t="str">
        <x:v>千问</x:v>
      </x:c>
      <x:c r="E64" s="5" t="str">
        <x:v>自然</x:v>
      </x:c>
      <x:c r="F64" s="5" t="str">
        <x:v>2026/9/28 15:16:29</x:v>
      </x:c>
      <x:c r="G64" s="5" t="str">
        <x:v>有效</x:v>
      </x:c>
      <x:c r="H64" s="5" t="str">
        <x:v>酵母蛋白值得买，尤其适合乳糖不耐受、素食、肠胃敏感、高尿酸/痛风倾向、减脂及中老年人群，且当前乳清蛋白涨价背景下是极具性价比的优质平替。
核心优势
优质完全蛋白，吸收率高：含全部9种人体必需氨基酸，氨基酸模式接近联合国粮农组织推荐标准。蛋白质消化率校正氨基酸评分（PDCAAS）达1.0，与乳清蛋白同级；真消化率90%-98%，吸收率不输鸡蛋和牛奶。
低嘌呤，痛风稳定期可放心吃：天然酵母嘌呤较高，但正规食品级产品经脱核酸工艺处理，核酸含量≤2g/100g，总嘌呤含量9-50mg/100g，属于低嘌呤食品范畴。临床研究显示每日摄入20-40g持续6-8周，血尿酸水平无显著升高。
零乳糖、低致敏、肠胃友好：不含乳糖、麸质及国家标注的8种常见过敏原，产气量仅为乳清蛋白的37%，腹胀发生率远低于乳清蛋白，非常适合乳糖不耐受和肠胃敏感人群。
富含复合营养：天然含有B族维生素、16种以上生物结合态矿物质（锌、硒、铁等）及膳食纤维（β-葡聚糖），具有调节肠道菌群、抗氧化等潜在益处。
性价比突出：原料成本约为乳清蛋白的1/3至1/2，终端产品价格明显更低。在乳清蛋白大幅涨价背景下，是健身人群寻找“平替”的热门选择。
客观短板
口感与溶解度欠佳：原味带有独特“鲜味”或“酵母味”（类似味精），部分产品存在飞粉、溶解度差、冲调易分层、口感“拉嗓子”等问题，建议使用摇杯冲调或搭配牛奶、绿茶改善。
吸收速度较慢：属于“缓释型蛋白”，胃中消化速度比乳清蛋白慢，不适合训练后需要快速补充氨基酸的“窗口期”，但这一特性反而有助于维持持久饱腹感，适合减脂期或睡前补充。
含硫氨基酸相对偏低：蛋氨酸和半胱氨酸含量低于动物蛋白，长期单一依赖可能影响代谢，建议与其他蛋白来源搭配食用。
产品标准参差不齐：部分产品执行“固体饮料”标准而非“运动营养食品”标准，存在蛋白质含量标注差异、脂肪含量偏高、配料表标注模糊等问题，选购时需仔细查看标签。
适用人群建议
强烈推荐：乳糖不耐受、素食者、肠胃敏感人群、高尿酸/痛风稳定期人群、中老年防肌少症人群、减脂期需要持久饱腹感的人群、预算有限的健身爱好者。
不太推荐：追求训练后极速吸收的专业增肌人群（建议优先乳清蛋白）、对酵母过敏者、婴幼儿、孕妇及哺乳期妇女（安全性数据不足）。
选购建议
优先选择执行标准明确、配料表透明的大品牌产品；
关注蛋白质含量（≥70%为佳）和核酸含量（≤2g/100g）；
初次尝试可先购买小包装，确认能接受口感后再囤货。
需要我帮你筛几款酵母蛋白的具体产品吗？说下预算和口味偏好就行。
乳清蛋白 vs酵母蛋白！选错等于白补！
续航喵储能罐
03:30
重磅消息，健身人春天到了。
张大象-运动补剂测评
03:32
蛋白粉从夯到拉实力排名第一期 蛋白粉推荐2026/乳清蛋白粉/酵母蛋白粉
蛋白粉推荐2026
04:29
乳清蛋白大涨？酵母蛋白粉成性价比首选？谁才是最有性价比性价比的那一个？
酵母蛋白粉
02:58
尝试酵母蛋白粉……
干戈拿铁
02:46
米当卡酵母蛋白粉 米当卡酵母蛋白粉的全面测评供你参考。优点，蛋白质含量高，消泡速度快，生椰拿铁味调的不错，调味选择了椰浆粉和咖啡粉为主。缺点，脂肪含量稍高，剩下
wodijdjeje
01:05
酵母蛋白粉真的能替代乳清吗
补剂大作战
酵母蛋白粉，到底好在哪？
夏仔的自我提升
00:37
酵母蛋白：便宜又好用的健身补剂？
迅速的西红柿
06:11
2026年蛋白粉涨价，酵母蛋白粉怎么样？怎么选？适合那些人？全品牌最新总结，蛋白粉合集，京造、小赛同学、JGGONDON、安琪纽特、米当卡酵母蛋白粉
小休的装备箱</x:v>
      </x:c>
      <x:c r="I64" s="5" t="str">
        <x:v>否</x:v>
      </x:c>
      <x:c r="J64" s="5" t="str"/>
      <x:c r="K64" s="5" t="str"/>
      <x:c r="L64" s="5" t="str"/>
      <x:c r="M64" s="5" t="str"/>
      <x:c r="N64" s="5" t="str">
        <x:v>类型建议或无品牌</x:v>
      </x:c>
      <x:c r="O64" s="5" t="str"/>
      <x:c r="P64" s="5" t="str"/>
      <x:c r="Q64" s="5" t="str"/>
      <x:c r="R64" s="5" t="str">
        <x:v>酵母蛋白：打破嘌呤迷思，开启健康蛋白新纪元 - 食品频道
蛋白新宠：酵母蛋白大揭秘！ - 食品频道
多品牌蛋白粉每桶涨价近百元，乳清蛋白成本翻倍，消费者寻找平替_财经频道_证券之星
一文看懂：关于酵母蛋白，你最想知道的7个问题，答案都在这里 - 食品频道
宜昌“微”力量撬动营养新赛道 安琪酵母蛋白“入编”新国标 - 发展动态 - 宜昌市人民政府国有资产监督管理委员会
谁是健身圈公认的“平替之王”，凭实力吊打乳清蛋白？ - 食品频道
新质蛋白_百度百科
酵母的力量（一）酵母蛋白：食品营养界的“全能ACE” - 食品频道
酵母蛋白粉的功效和作用_妙手医生
酵母蛋白到底好在哪？一文讲清
酵母蛋白粉，到底好在哪？
国家认证的新蛋白：酵母蛋白</x:v>
      </x:c>
      <x:c r="S64" s="5" t="str">
        <x:v>https://shipin.sdnews.com.cn/spts/202512/t20251202_4609718.htm
https://shipin.sdnews.com.cn/spts/202408/t20240814_4421645.htm
http://finance.stockstar.com/IG2026060100009601.shtml
https://shipin.sdnews.com.cn/spts/202607/t20260730_4715629.htm
http://gzw.yichang.gov.cn/content-40899-17845-1.html
https://shipin.sdnews.com.cn/spts/202606/t20260617_4694225.htm
https://baike.baidu.com/item/%E6%96%B0%E8%B4%A8%E8%9B%8B%E7%99%BD/67654520
https://shipin.sdnews.com.cn/sppp/202512/t20251217_4616207.htm
https://www.miaoshou.net/article/MPeNRn680yQ2OBYV.html
https://page.sm.cn/blm/node-page-new-995/index?h=medical.v1.quark.cn&amp;id=28_e1c58f8fdf22a82217940766a85d9f06
https://page.sm.cn/blm/node-page-new-995/index?h=iknow.v6_2.quark.cn&amp;id=28_6c7a15f43edfcc2b7d72d982b8eafa22
https://news.foodmate.net/2025/08/wap_723400.html</x:v>
      </x:c>
      <x:c r="T64" s="5" t="str">
        <x:v>shipin.sdnews.com.cn
shipin.sdnews.com.cn
finance.stockstar.com
shipin.sdnews.com.cn
gzw.yichang.gov.cn
shipin.sdnews.com.cn
baike.baidu.com
shipin.sdnews.com.cn
www.miaoshou.net
page.sm.cn
page.sm.cn
news.foodmate.net</x:v>
      </x:c>
      <x:c r="U64" s="5" t="str">
        <x:v>是</x:v>
      </x:c>
      <x:c r="V64" s="5" t="str"/>
      <x:c r="W64" s="5" t="str">
        <x:v>https://www.qianwen.com/chat/af2ade4f44f1403384d35cd668a6ed53</x:v>
      </x:c>
      <x:c r="X64" s="5" t="n">
        <x:v>12</x:v>
      </x:c>
      <x:c r="Y64" s="5" t="str">
        <x:v>否</x:v>
      </x:c>
    </x:row>
    <x:row r="65" ht="34" customHeight="1">
      <x:c r="A65" s="5" t="str">
        <x:v>Q4</x:v>
      </x:c>
      <x:c r="B65" s="5" t="str">
        <x:v>酵母蛋白有哪些品牌？</x:v>
      </x:c>
      <x:c r="C65" s="5" t="str">
        <x:v>品类认知</x:v>
      </x:c>
      <x:c r="D65" s="5" t="str">
        <x:v>千问</x:v>
      </x:c>
      <x:c r="E65" s="5" t="str">
        <x:v>自然</x:v>
      </x:c>
      <x:c r="F65" s="5" t="str">
        <x:v>2026/9/28 15:22:06</x:v>
      </x:c>
      <x:c r="G65" s="5" t="str">
        <x:v>有效</x:v>
      </x:c>
      <x:c r="H65" s="5" t="str">
        <x:v>酵母蛋白是2023年底经国家卫健委批准的新食品原料，因其蛋白质含量高（≥70%）、氨基酸组成接近人体需求、消化吸收率高，且不含乳糖、低致敏，成为乳清蛋白的优质替代品。目前市场上的酵母蛋白品牌主要分为原料供应商和终端消费品牌两类，以下为你梳理主流品牌：
🏭 一、核心原料供应商（B端为主）
这些企业是酵母蛋白的生产源头，部分也推出自有终端产品：
安琪酵母（Angel Yeast）
国内绝对龙头，牵头制定《酵母蛋白》行业标准，拥有国内首张新食品原料行政许可。
旗下AnPro®系列蛋白含量70%-90%，PDCAAS评分0.95-1.0，通过FSSC22000、BRCGS、FDA GRAS等认证，出口142国。
在国内酵母原料市场占有率达55%，酵母蛋白粉市场份额稳居第一。
乐斯福（Lesaffre）
法国品牌，全球酵母行业头部企业，明光工厂通过多项国际认证。
提供Lynside Pro/LyfePro®系列，蛋白含量70%-82%，有低嘌呤型（≤30mg/100g）和富肽型产品。
英联马利（AB Mauri）
英国英联食品集团旗下，哈尔滨、漳州基地通过BRCGS AA级认证。
MalyPro/MaloPro®系列蛋白含量68%-83%，主打高凝胶型，适用于植物肉、素鱼丸等。
圣琪酵母（SinQi）
山东企业，通过FSSC22000、欧盟有机等认证。
SinPro系列蛋白含量70%-80%，提供低核酸型、富硒型，适用于特医食品。
其他国际原料商
杜邦丹尼斯克：蛋白含量≥80%，PDCAAS 0.98，通过FDA GRAS及欧盟EFSA认证。
思宾格（Biospringer）：法国乐斯福旗下，主打调味品与植物基领域，蛋白含量78%-84%。
Alltech：美国品牌，蛋白含量78%，富含有机硒和天然维生素D2，通过多国有机认证。
艾地盟（ADM）：美国品牌，原料通过FDA GRAS与加拿大Health Canada认证。
🛒 二、终端消费品牌（C端产品）
这些品牌直接面向消费者销售酵母蛋白粉成品：
安琪纽特（Angel Nutritech）
安琪酵母旗下核心营养健康品牌，国内酵母蛋白粉行业开创者。
产品蛋白含量78.2g/100g，PDCAAS=1.0，0乳糖、0蔗糖、低GI（≤30），曾四次登陆央视。2026年4月功效导向型参考榜单中位列第一。
京东京造
京东自营品牌，推出酵母蛋白粉产品，5磅（2.27kg）售价约159元，性价比高。
怡可纳
蛋白含量75%，脱腥工艺成熟，口感顺滑，溶解性好，被评测为"全能口粮款"。
南巨
蛋白含量80%，高蛋白参数性价比突出，适合力量训练后补给，但冲泡泡沫偏多。
米当卡
蛋白含量75%，果味调味成熟，酵母腥味处理较好，新手接受门槛低。
其他C端品牌
小赛同学、JGGONDON：在C端酵母蛋白粉推荐中被提及。
英之素：添加益生菌益生元，对肠胃敏感人群友好。
三角瞄：蛋白含量76%，调味优化出色，桂花乌龙、焦糖拿铁等风味丰富。
Fitboy：蛋白含量75%，主流绿豆雪糕风味，购买渠道方便。
元气码头：酵母蛋白搭配少量乳清复配，吸收温和。
Now Foods、Twinlab、Myprotein：国际品牌，Now Foods获USDA Organic认证，Twinlab采用"酵母+豌豆"双蛋白配方，Myprotein添加天然可可粉调味。
📊 三、选购建议
查资质：确认产品列入国家卫健委"新食品原料"目录，查看FSSC22000、BRC等体系认证。
看指标：优先选择蛋白含量≥80%、PDCAAS≥0.9的产品；关注核酸/嘌呤含量，低嘌呤型适合高尿酸人群。
按场景：运动营养选高BCAA、速溶型；植物肉选高凝胶型；烘焙选高分散、风味中性型。
算成本：以"每百克纯蛋白价格"为基准比价，国产酵母蛋白吨价约为进口乳清蛋白的60%-70%。
⚠️ 注意事项：鉴于婴幼儿、孕妇及哺乳期妇女食用安全性数据不足，上述人群不宜食用酵母蛋白。
你主要想用来做什么？比如运动补剂、烘焙、还是做植物肉，我帮你重点推荐几款。
01:47
【从夯到拉】酵母蛋白粉按营养成分表和配料表排行(8)
飞龙摘星
03:32
蛋白粉从夯到拉实力排名第一期 蛋白粉推荐2026/乳清蛋白粉/酵母蛋白粉
蛋白粉推荐2026
04:29
乳清蛋白大涨？酵母蛋白粉成性价比首选？谁才是最有性价比性价比的那一个？
酵母蛋白粉
02:46
米当卡酵母蛋白粉 米当卡酵母蛋白粉的全面测评供你参考。优点，蛋白质含量高，消泡速度快，生椰拿铁味调的不错，调味选择了椰浆粉和咖啡粉为主。缺点，脂肪含量稍高，剩下
wodijdjeje
04:08
【蛋白粉避坑】乳清/酵母蛋白粉从夯到拉快速避坑，精品推荐，康比特，京东京造，on，小赛同学，米当卡，赛霸
汤姆爱数码
00:34
长期喝蛋白粉嫌贵，健身党平价蛋白补给来了，怡可纳酵母蛋白粉 #营养补剂howto[话题]# #居家锻炼[话题]# #蛋白补充新方式[话题]# #蛋白粉[话题]# #补充蛋白质[话题]# #美食解构主理人[话题]#
运动康养大丹
06:11
2026年蛋白粉涨价，酵母蛋白粉怎么样？怎么选？适合那些人？全品牌最新总结，蛋白粉合集，京造、小赛同学、JGGONDON、安琪纽特、米当卡酵母蛋白粉
小休的装备箱
安琪纽特酵母蛋白粉，爸妈喝完直夸好！
城市充电酱
安琪纽特酵母蛋白粉，给爸妈喝完腿脚有劲了
心情收藏家
安琪纽特酵母蛋白粉，我爸妈喝完两罐状态up了
自我重塑记</x:v>
      </x:c>
      <x:c r="I65" s="5" t="str">
        <x:v>是</x:v>
      </x:c>
      <x:c r="J65" s="5" t="str"/>
      <x:c r="K65" s="5" t="n">
        <x:v>3</x:v>
      </x:c>
      <x:c r="L65" s="5" t="str"/>
      <x:c r="M65" s="5" t="str">
        <x:v>怡可纳、安琪纽特、赛霸/小赛同学、京东京造、米当卡、南巨、英之素、元气码头、三角喵、JGGONDON/剑盾、Myprotein、Now Foods</x:v>
      </x:c>
      <x:c r="N65" s="5" t="str">
        <x:v>顺序列举</x:v>
      </x:c>
      <x:c r="O65" s="5" t="str">
        <x:v>第一。 京东京造 京东自营品牌，推出酵母蛋白粉产品，5磅（2.27kg）售价约159元，性价比高。 怡可纳 蛋白含量75%，脱腥工艺成熟，口感顺滑，溶解性好，被评测为"全能口粮款"。 南巨 蛋白含量80%，高蛋白参数性价比突出，适合力量训练后补给，但冲泡泡沫偏多。 米当卡 蛋白含量75%，果味调味成熟，酵母腥味处理较好，新手接受门槛低。 其他C端品牌 小赛同学、JGGONDON：在C端酵母蛋白粉推荐中被提及。 英之素：添加益生菌益生元，对肠胃敏感人群友好。 三角瞄：蛋白含量76%，调味优化出色，桂花乌龙、焦糖拿铁等风味丰富。 Fitboy：蛋白含量75%</x:v>
      </x:c>
      <x:c r="P65" s="5" t="str">
        <x:v>正面</x:v>
      </x:c>
      <x:c r="Q65" s="5" t="str">
        <x:v>酵母蛋白、价格优势、乳糖不耐场景、口感/冲泡体验、运动/健身</x:v>
      </x:c>
      <x:c r="R65" s="5" t="str">
        <x:v>AnPro®酵母蛋白——引航运动营养与可持续未来的技术革新 - 食品频道
酵母蛋白粉市场规模、份额、行业趋势、2032 年预测 | WiseGuyReports
Yeast Protein Powder Market – PW Consulting Health Care Research Center
官宣！酵母蛋白正式“转正”，安琪纽特这回又站C位了 - 食品频道
安琪纽特酵母蛋白粉获FFC2026功能性食品大会产品创新奖 - 今日头条
2026年中国酵母蛋白粉行业市场权威调研分析</x:v>
      </x:c>
      <x:c r="S65" s="5" t="str">
        <x:v>https://shipin.sdnews.com.cn/sppp/202511/t20251118_4603949.htm
https://www.wiseguyreports.com/cn/reports/yeast-protein-powder-market
https://pmarketresearch.com/hc/yeast-protein-powder-market/
https://shipin.sdnews.com.cn/sppp/202608/t20260804_4717978.htm
https://www.toutiao.com/article/7638200867182707254/
https://q.stock.sohu.com/cn/news.html?code=cn_600298&amp;date=2026/0526&amp;tab=200&amp;textId=1016060714&amp;type=120</x:v>
      </x:c>
      <x:c r="T65" s="5" t="str">
        <x:v>shipin.sdnews.com.cn
www.wiseguyreports.com
pmarketresearch.com
shipin.sdnews.com.cn
www.toutiao.com
q.stock.sohu.com</x:v>
      </x:c>
      <x:c r="U65" s="5" t="str">
        <x:v>是</x:v>
      </x:c>
      <x:c r="V65" s="5" t="str"/>
      <x:c r="W65" s="5" t="str">
        <x:v>https://www.qianwen.com/chat/368374ece98c49658feb0c659c97c1f9</x:v>
      </x:c>
      <x:c r="X65" s="5" t="n">
        <x:v>6</x:v>
      </x:c>
      <x:c r="Y65" s="5" t="str">
        <x:v>否</x:v>
      </x:c>
    </x:row>
    <x:row r="66" ht="34" customHeight="1">
      <x:c r="A66" s="5" t="str">
        <x:v>Q5</x:v>
      </x:c>
      <x:c r="B66" s="5" t="str">
        <x:v>乳糖不耐受的人适合喝什么蛋白粉？</x:v>
      </x:c>
      <x:c r="C66" s="5" t="str">
        <x:v>需求解决</x:v>
      </x:c>
      <x:c r="D66" s="5" t="str">
        <x:v>千问</x:v>
      </x:c>
      <x:c r="E66" s="5" t="str">
        <x:v>自然</x:v>
      </x:c>
      <x:c r="F66" s="5" t="str">
        <x:v>2026/9/28 15:23:56</x:v>
      </x:c>
      <x:c r="G66" s="5" t="str">
        <x:v>有效</x:v>
      </x:c>
      <x:c r="H66" s="5" t="str">
        <x:v>乳糖不耐受人群非常适合喝蛋白粉，但必须避开普通浓缩乳清蛋白，优先选择分离乳清蛋白、水解乳清蛋白或植物蛋白。这三类产品通过特殊工艺或天然属性去除了乳糖，不会引起腹胀、腹泻等不适。
分离乳清蛋白（首选动物蛋白）
分离乳清蛋白经过微滤和超滤处理，乳糖通常低于1%。它在保留优质蛋白的同时去除了绝大部分乳糖，蛋白纯度高达90%以上，吸收快且氨基酸全面，非常适合乳糖不耐受人群日常补充或健身增肌。
水解乳清蛋白（极易消化）
水解乳清蛋白经酶解处理，乳糖极低，几乎可忽略。它的蛋白质已经被预先分解成小分子，不仅完全摆脱了乳糖困扰，而且吸收速度极快，对肠胃极其敏感的人群非常友好。
大豆分离蛋白与复合植物蛋白（零乳糖）
大豆分离蛋白、豌豆蛋白等属于植物蛋白，原料本身不含乳糖。大豆分离蛋白氨基酸较全面，而豌豆蛋白、糙米蛋白等复合植物蛋白同样零乳糖且低致敏，是乳糖不耐受者及素食人群的安全选择。
选购与饮用建议
看配料表：避开“浓缩乳清蛋白（WPC）”，认准“分离乳清蛋白（WPI）”或“水解乳清蛋白（WPH）”字样。
首次试饮：即使标榜低乳糖，也建议从少量开始试饮，观察肠胃反应后再逐渐增加用量。
冲泡方式：建议用常温水或温水冲泡，避免热水导致蛋白质变性结块，影响口感和吸收。
总结来说，乳糖不耐受完全可以通过分离乳清蛋白或植物蛋白来补充优质营养，选购时只需盯紧“零乳糖/低乳糖”标识和配料表即可。
为了给你推荐更精准的蛋白粉类型，想了解一下：
你喝蛋白粉主要是为了健身增肌，还是日常营养补充？
你平时喝牛奶或吃冰淇淋时，肠胃不适的程度大概是什么样的？
00:53
分离乳清和乳清蛋白的区别#干货科普 #分离乳清 #蛋白粉推荐 #FoYes精准分离蛋白粉
斩端虑装Sq6
03:57
怕踩坑？蛋白粉怎么选超模可太懂了 无广指南来啦蛋白粉好物分享模特
好事的佐罗先森
03:53
蛋白粉从夯到拉实力排名第二期
蛋白粉推荐2026
植物蛋白粉怎么选？9 款热门盘点！乳糖不耐受/素食党必看
果酱日常志
06:04
全文献告诉你酵母蛋白！乳糖不耐受狂爱！
健身的贝吉塔
乳糖不耐受必看！6 款放心喝的蛋白粉
营养师实验室
乳糖不耐受，蛋白粉怎么选？看这篇就够了
轻体早餐计划
00:22
分离乳清蛋白：不是所有的“蛋白粉”都一样
健康管理科普号
00:49
你知道么？很多人是不适合补充乳制品的。 比如我，乳糖不耐受+桥本甲状腺炎，即使健身需要蛋白质补充，但也基本告别乳清蛋白粉和牛奶了。也正是这个原因，最近我开始喝豌豆蛋白粉，舒舒服服地解决蛋白需求。 不仅仅是我，乳制品对很多人来说都是致炎的。特别在亚洲，乳糖不耐的现象非常普遍，中国 ​
JaneMeow
澳都塞斯分离乳清蛋白粉，乳糖不耐受也能喝
轻盈体态日记</x:v>
      </x:c>
      <x:c r="I66" s="5" t="str">
        <x:v>否</x:v>
      </x:c>
      <x:c r="J66" s="5" t="str"/>
      <x:c r="K66" s="5" t="str"/>
      <x:c r="L66" s="5" t="str"/>
      <x:c r="M66" s="5" t="str"/>
      <x:c r="N66" s="5" t="str">
        <x:v>类型建议或无品牌</x:v>
      </x:c>
      <x:c r="O66" s="5" t="str"/>
      <x:c r="P66" s="5" t="str"/>
      <x:c r="Q66" s="5" t="str"/>
      <x:c r="R66" s="5" t="str">
        <x:v>乳糖不耐喝什么蛋白粉安全不胀气？元素力蛋白粉有乳糖吗？
乳糖不耐受喝什么蛋白粉？低乳糖品牌选择与维力维案例
乳糖不耐受必看！6 款放心喝的蛋白粉
乳糖不耐受适合喝什么蛋白粉·20个最常见问题排名解答
乳糖不耐受可喝的国产蛋白粉推荐：分离乳清蛋白含量90%
乳清蛋白粉乳糖含量真相
蛋白粉，你真的选对了吗？听听中山一院广西医院营养科医生的“硬核”建议
乳糖不耐受人群适合的蛋白粉：零乳糖高分离乳清蛋白粉推荐
分离乳清蛋白含乳糖吗
剔除乳糖的分离乳清蛋白粉，90%蛋白含量适合乳糖不耐健身人士
乳糖不耐受适合喝什么蛋白粉·5类不同程度人群优先级适配分析
《临床营养学_第1版》
乳糖不耐受选蛋白粉，这3款可以参考
乳糖不耐受，蛋白粉怎么选？看这篇就够了
乳糖不耐受，蛋白粉如何选择❓
乳糖不耐受，植物蛋白粉怎么选？</x:v>
      </x:c>
      <x:c r="S66" s="5" t="str">
        <x:v>http://food.china.com.cn/2026-07/07/content_118586624.shtml
https://www.toutiao.com/article/7681467035708146226/
https://page.sm.cn/blm/midpage-317/index?h=v1.hao_produce_note.quark.cn&amp;id=28_7952c255f47d3a7ef28525a67a8d96ed&amp;anchor=1.+%E6%B1%A4%E8%87%A3%E5%80%8D%E5%81%A5%F0%9F%92%A1%EF%BC%9A%E6%98%8E%E6%98%9F%E6%88%90%E5%88%86%E5%88%86%E7%A6%BB%E4%B9%B3%E6%B8%85%E8%9B%8B%E7%99%BD%EF%BC%8C0%E4%B9%B3%E7%B3%96%E9%AB%98%E7%BA%AF%E5%BA%A6%EF%BC%8C%E6%98%93%E5%90%B8%E6%94%B6%EF%BC%8C%E9%80%82%E5%90%88%E4%B9%B3%E7%B3%96%E4%B8%8D%E8%80%90%E5%8F%97%E8%A1%A5%E5%85%85%E8%9B%8B%E7%99%BD%E3%80%81%E5%A2%9E%E5%BC%BA%E4%BD%93%E8%B4%A8%E3%80%82+2.+%E6%AC%A7%E5%8A%9B%E5%A7%86%F0%9F%92%AA%EF%BC%9A%E5%90%8C%E6%A0%B7%E6%98%AF%E5%88%86%E7%A6%BB%E4%B9%B3%E6%B8%85%E8%9B%8B%E7%99%BD%EF%BC%8C%E5%8E%BB%E9%99%A4%E4%B9%B3%E7%B3%96%E5%90%8E%E9%A5%AE%E7%94%A8%E4%B8%8D%E8%85%B9%E6%B3%BB%EF%BC%8C%E9%80%82%E5%90%88%E5%81%A5%E8%BA%AB%E4%BA%BA%E7%BE%A4%E8%A1%A5%E5%85%85%E8%90%A5%E5%85%BB%E3%80%82+3.+%E4%BA%A6%E8%88%92%E5%A0%82%F0%9F%8C%B1%EF%BC%9A%E7%BA%AF%E6%A4%8D
https://post.smzdm.com/p/anvkd9x7/
https://www.sohu.com/a/972736606_122512783
https://page.sm.cn/blm/midpage-317/index?h=medical.v1.quark.cn&amp;id=28_b83d4eec8f7c2a3df93331d590a24470&amp;anchor=%E5%88%86%E7%A6%BB%E4%B9%B3%E6%B8%85%E5%92%8C%E6%B0%B4%E8%A7%A3%E4%B9%B3%E6%B8%85%E4%B8%89%E5%A4%A7%E7%B1%BB%EF%BC%8C%E5%AE%83%E4%BB%AC%E7%9A%84%E4%B9%B3%E7%B3%96%E5%90%AB%E9%87%8F%E4%BB%8E%E5%A4%9A%E5%88%B0%E5%B0%91%E4%BE%9D%E6%AC%A1%E9%80%92%E5%87%8F%E3%80%82+%F0%9F%93%96+%E6%A6%82%E5%BF%B5%E4%BA%8C%EF%BC%9A%E4%B8%8D%E5%90%8C%E5%93%81%E7%B1%BB%E7%9A%84%E4%B9%B3%E7%B3%96%E5%90%AB%E9%87%8F+%E2%96%AB%EF%B8%8F+%E6%B5%93%E7%BC%A9%E4%B9%B3%E6%B8%85%EF%BC%88WPC%EF%BC%89%EF%BC%9A%E8%9B%8B%E7%99%BD%E8%B4%A870%25-80%25%EF%BC%8C%E4%BF%9D%E7%95%99%E8%BE%83%E5%A4%9A%E4%B9%B3%E7%B3%96%EF%BC%8C%E6%AF%8F%E4%BB%BD%EF%BC%8830g%EF%BC%89%E7%BA%A6%E5%90%AB1-5g%E3%80%82+%E2%96%AB%EF%B8%8F+%E5%88%86%E7%A6%BB%E4%B9%B3%E6%B8%85%EF%BC%88
http://zsyygxyy.org.cn/news/newsyyxw/4850.html
http://www.sohu.com/a/972741395_122512785
https://page.sm.cn/blm/midpage-317/index?h=ask.39.net&amp;id=14_7c6a315fb1c9197e1f0b4e344fba3d7d&amp;anchor=%E5%88%86%E7%A6%BB%E4%B9%B3%E6%B8%85%E8%9B%8B%E7%99%BD%E4%B8%8D%E5%90%AB%E4%B9%B3%E7%B3%96%EF%BC%8C%E9%80%82%E5%90%88%E4%B9%B3%E7%B3%96%E4%B8%8D%E8%80%90%E5%8F%97%E6%88%96%E5%AF%B9%E4%B9%B3%E5%88%B6%E5%93%81%E8%BF%87%E6%95%8F%E7%9A%84%E4%BA%BA%E7%BE%A4%E9%A3%9F%E7%94%A8%E3%80%82
https://www.sohu.com/a/966996509_122512783
https://post.smzdm.com/p/arze0z27/
https://vt.quark.cn/blm/med-ai-page-946/index?x_render_type=ssr&amp;uc_biz_str=OPT%3ABACK_BTN_STYLE%400%7COPT%3AS_BAR_BG_COLOR%40ffffff&amp;query=VdB%2BLV7w7lHHEp%2Fo7ZfF0K0TLq2LPDPl5S2gAXcHFWM%3D&amp;url=VdB%2BLV7w7lHHEp%2Fo7ZfF0D%2FGcYWgqmiNaiq3f%2BIRmtceSlawpWNOpRoFdkj6RYZkjSUSf1kUFzWma0bzGT6vcwulmbFMST51i75M97qvM9fpPkKgInrs24uo4KcCqAax&amp;token=917966434084
https://page.sm.cn/blm/midpage-317/index?h=iknow.v4_3.quark.cn&amp;id=28_7d27efa1e53b95262e83764628d03ec0&amp;anchor=%E4%B9%B3%E6%B8%85%E8%9B%8B%E7%99%BD%E7%B2%89%E5%92%8C%E5%90%AB%E6%9C%89%E4%B9%B3%E6%B8%85%E8%9B%8B%E7%99%BD%E7%9A%84%E6%B7%B7%E5%90%88%E8%9B%8B%E7%99%BD%E7%B2%89%EF%BC%8C%E7%9B%B4%E6%8E%A5%E7%BB%95%E9%81%93%E8%B5%B0%E3%80%82+%E2%9D%B7+%E6%A4%8D%E7%89%A9%E8%9B%8B%E7%99%BD%E7%B2%89%E6%98%AF%E6%9B%B4%E5%8F%8B%E5%A5%BD%E7%9A%84%E9%80%89%E6%8B%A9%EF%BC%8C%E4%BD%86%E4%B8%80%E5%AE%9A%E8%A6%81%E5%85%BB%E6%88%90%E7%9C%8B%E9%85%8D%E6%96%99%E8%A1%A8%E7%9A%84%E4%B9%A0%E6%83%AF%EF%BC%8C%E5%9B%A0%E4%B8%BA%E6%9E%81%E4%B8%AA%E5%88%AB%E5%8F%A3%E5%91%B3%E7%9A%84%E6%A4%8D%E7%89%A9%E8%9B%8B%E7%99%BD%E7%B2%89%E9%87%8C%E4%B9%9F%E5%8F%AF%E8%83%BD%E4%BC%9A%E6%B7%BB%E5%8A%A0%E4%B9%B3%E7%B3%96%E3%80%82
https://page.sm.cn/blm/midpage-317/index?h=iknow.v5_1.quark.cn&amp;id=28_899f8a6f1cb79607acd19921bc4dcc14&amp;anchor=%E4%B9%B3%E7%B3%96%E4%B8%8D%E8%80%90%E7%9A%84%E8%9B%8B%E7%99%BD%E7%B2%89%E9%80%89%E6%8B%A9%EF%BC%88%E4%BB%8E%E4%BC%98%E5%88%B0%E6%AC%A1%EF%BC%89+1%EF%B8%8F%E2%83%A3+%E6%9E%81%E4%BD%B3%E9%80%89%E6%8B%A9%EF%BC%9A%E5%AE%8C%E5%85%A8%E6%97%A0%E4%B9%B3%E7%B3%96+%E6%B0%B4%E8%A7%A3%E4%B9%B3%E6%B8%85%E8%9B%8B%E7%99%BD%E7%B2%89%EF%BC%9A%E4%B9%B3%E6%B8%85%E8%9B%8B%E7%99%BD%E7%BB%8F%E8%BF%87%E6%B0%B4%E8%A7%A3%E6%8A%80%E6%9C%AF%E9%A2%84%E5%85%88%E5%88%86%E8%A7%A3%EF%BC%8C%E5%85%B6%E4%B8%AD%E7%9A%84%E4%B9%B3%E7%B3%96%E4%B9%9F%E8%A2%AB%E5%A4%84%E7%90%86%E6%8E%89%E4%BA%86%EF%BC%8C%E5%87%A0%E4%B9%8E%E4%B8%8D%E4%BC%9A%E5%BC%95%E8%B5%B7%E4%B8%8D%E9%80%82%E3%80%82%E5%90%B8%E6%94%B6%E4%B9%9F%E6%9B%B4%E5%BF%AB%E3%80%82+%E5%88%86%E7%A6%BB%E4%B9%B3%E6%B8%85%E8%9B%8B%E7%99%BD%E7%B2%89%EF%BC%9A%E8%BF%99%E6%98%AF%E6%9B%B4%E7%BB%8F%E6%B5%8E%E4%B8%94%E9%AB%98%E6%95%88%E7%9A%84
https://page.sm.cn/blm/midpage-317/index?h=v2.hao_produce_note.quark.cn&amp;id=28_963f1b81d3a1fc5286422243cd2bcbe9&amp;anchor=%E5%8F%AF%E4%BB%A5%E9%80%89%E6%8B%A9%E6%A4%8D%E7%89%A9%E8%9B%8B%E7%99%BD%E7%B2%89%EF%BC%8C%E5%A4%A7%E5%A4%9A%E6%95%B0%E6%A4%8D%E7%89%A9%E8%9B%8B%E7%99%BD%E7%B2%89%E9%83%BD%E6%98%AF%E4%B8%8D%E5%90%AB%E4%B9%B3%E7%B3%96%E7%9A%84%EF%BC%8C%E6%9E%81%E4%B8%AA%E5%88%AB%E5%8F%A3%E5%91%B3%E7%9A%84%E6%A4%8D%E7%89%A9%E8%9B%8B%E7%99%BD%E7%B2%89%E6%B7%BB%E5%8A%A0%E4%BA%86%E4%B9%B3%E7%B3%96%EF%BC%8C%E6%89%80%E4%BB%A5%E9%80%89%E6%8B%A9%E6%97%B6%E8%A6%81%E6%8F%90%E5%89%8D%E7%9C%8B%E5%A5%BD%E9%85%8D%E6%96%99%E8%A1%A8%E3%80%82
https://page.sm.cn/blm/midpage-317/index?h=iknow.v4_3.quark.cn&amp;id=28_151b93829553891e6764824c12a0aa6e&amp;anchor=%F0%9F%8C%B1+%E5%A4%A7%E8%B1%86%E8%9B%8B%E7%99%BD%E7%B2%89+%E5%AE%83%E4%B8%BB%E8%A6%81%E9%80%82%E5%90%88%E4%B9%B3%E7%B3%96%E4%B8%8D%E8%80%90%E8%80%85%E3%80%81%E4%B8%A5%E6%A0%BC%E7%B4%A0%E9%A3%9F%E8%80%85%E3%80%82+%E5%AE%83%E7%9A%84%E8%9B%8B%E7%99%BD%E8%B4%A8%E6%98%AF%E5%88%86%E7%A6%BB%E8%9B%8B%E7%99%BD%EF%BC%8C%E4%BD%86%E4%BC%98%E7%82%B9%E6%98%AF%E7%BA%AF%E6%A4%8D%E7%89%A9%E4%BC%98%E8%B4%A8%E5%A4%A7%E8%B1%86%E5%88%86%E7%A6%BB%E8%9B%8B%E7%99%BD%EF%BC%8C%E5%9F%BA%E6%9C%AC%E4%B8%8A%E8%83%BD%E8%A2%AB%E4%BA%BA%E4%BD%93%E5%90%B8%E6%94%B6%E5%92%8C%E5%88%A9%E7%94%A8%E3%80%82</x:v>
      </x:c>
      <x:c r="T66" s="5" t="str">
        <x:v>food.china.com.cn
www.toutiao.com
page.sm.cn
post.smzdm.com
www.sohu.com
page.sm.cn
zsyygxyy.org.cn
www.sohu.com
page.sm.cn
www.sohu.com
post.smzdm.com
vt.quark.cn
page.sm.cn
page.sm.cn
page.sm.cn
page.sm.cn</x:v>
      </x:c>
      <x:c r="U66" s="5" t="str">
        <x:v>否</x:v>
      </x:c>
      <x:c r="V66" s="5" t="str"/>
      <x:c r="W66" s="5" t="str">
        <x:v>https://www.qianwen.com/chat/6dcfaef315964562aedbf7791ac873c0</x:v>
      </x:c>
      <x:c r="X66" s="5" t="n">
        <x:v>16</x:v>
      </x:c>
      <x:c r="Y66" s="5" t="str">
        <x:v>否</x:v>
      </x:c>
    </x:row>
    <x:row r="67" ht="34" customHeight="1">
      <x:c r="A67" s="5" t="str">
        <x:v>Q6</x:v>
      </x:c>
      <x:c r="B67" s="5" t="str">
        <x:v>喝乳清蛋白容易肚子不舒服，有什么其他蛋白粉可以选？</x:v>
      </x:c>
      <x:c r="C67" s="5" t="str">
        <x:v>需求解决</x:v>
      </x:c>
      <x:c r="D67" s="5" t="str">
        <x:v>千问</x:v>
      </x:c>
      <x:c r="E67" s="5" t="str">
        <x:v>自然</x:v>
      </x:c>
      <x:c r="F67" s="5" t="str">
        <x:v>2026/9/28 15:27:16</x:v>
      </x:c>
      <x:c r="G67" s="5" t="str">
        <x:v>有效</x:v>
      </x:c>
      <x:c r="H67" s="5" t="str">
        <x:v>喝乳清蛋白容易肚子不舒服，通常是因为你喝的是浓缩乳清蛋白（WPC），其中残留的乳糖超过了你的肠胃处理能力，导致腹胀、肠鸣甚至腹泻。
好消息是，问题不在蛋白质本身，而在乳糖。你完全不需要放弃蛋白粉，只需更换类型即可。以下是为你整理的替代方案，按肠胃友好度从高到低排列：
🥇 首选：分离乳清蛋白（WPI）
这是目前对肠胃敏感人群最友好的选择。
原理：通过过滤工艺去除了绝大部分乳糖（乳糖含量通常&lt;0.1g/份），几乎不含乳糖，从根源上消除了腹胀原因。
优势：分子量小（约14 Kda），吸收快，净利用率高，蛋白质消化彻底，进入大肠的残渣少，不易产气。
代表产品：
纽特舒玛分离乳清蛋白粉：配料极简（仅分离乳清蛋白+磷脂），0蔗糖0香精，通过NSF-cGMP认证，超100家三甲医院临床使用。
维力维蛋白粉：新西兰进口分离乳清，乳糖残留&lt;0.1g/100g，0糖0脂0香精。
雀巢蛋白补：100%分离乳清，0乳糖，PDCAAS评分0.97。
🥈 次选：水解乳清蛋白（WPH）
原理：将蛋白质预先酶解成小分子肽，吸收速度最快。
注意：虽然吸收快，但乳糖去除不如分离乳清彻底，对乳糖极度敏感者仍可能有轻微不适。
🥉 植物蛋白方案（完全不含乳糖）
如果你完全不想摄入任何动物来源，可以选择植物蛋白，但需注意消化效率问题：
表格
下载为表格
导出为图片
类型
优点
缺点/注意事项
豌豆蛋白	0乳糖，低致敏，适合素食者	消化效率偏低，可能轻度胀气，氨基酸谱不完整（常需搭配糙米蛋白）
大豆分离蛋白	0乳糖，价格便宜	分子量大（230 Kda），含致胀气低聚糖，消化慢，易产气
双蛋白配方	动植物搭配，氨基酸互补	需确认乳糖含量，选0乳糖配方
代表产品：
元素力蛋白粉：非转基因大豆分离蛋白+乳清蛋白+益生元，0乳糖，获蓝帽认证，适合肠胃敏感人群。
安利纽崔莱多种植物蛋白粉：大豆+豌豆配方，PDCAAS评分1.0，无蔗糖。
💡 其他替代选择
蛋清蛋白：天然不含乳糖和脂肪，生物利用率高，适合对乳制品过敏但需动物蛋白的人群。
酵母蛋白：2026年新兴平替，消化率达97.66%，PDCAAS接近1.0，胃排空慢适合减脂，但口感偏糊状。
酪蛋白：消化缓慢，饱腹感强，适合睡前服用，但同样含乳糖，需选低乳糖版本。
📌 选购与饮用建议
看配料表第一位：必须是“分离乳清蛋白”，如果是“浓缩乳清蛋白”请避开。
选极简配方：避免香精、甜味剂、麦芽糊精等不必要添加剂，减少肠胃负担。
温水冲泡：用40-45℃温水，避免冷水刺激肠胃。
从小剂量开始：初次尝试从半勺开始，让肠胃逐步适应。
搭配主食：不要空腹喝，与碳水化合物一起食用可延缓吸收，减轻不适。
总结：如果你之前喝的是浓缩乳清蛋白，直接换成分离乳清蛋白（WPI）大概率就能解决问题。如果仍不适，再考虑豌豆蛋白或蛋清蛋白等完全不含乳糖的选项。
需要我帮你整理几款京东上口碑好的分离乳清蛋白粉，直接给你挑吗？
好的，交给工作助理模式继续完成
蛋白粉怎么选？8款热门蛋白粉的口感和特点
滑雪安全员
蛋白粉怎么选？按需求看这几款
刺猬笔记间
蛋白粉怎么选？我的几款亲测心得
马甲线进化论者
孕期蛋白粉怎么选？这四款热门品牌帮你理清
低卡饮食铺子
只看性价比，蛋白粉哪个牌子好？
健康饮食研究所
健身两年多，蛋白粉喝过的牌子都整理出来了
羽毛球网前守护者
13:45
喝蛋白粉总拉肚子胀气？12款乳清/分离/三重蛋白粉横测，同一个牌子4个价位差在哪，三重复合谁拿便宜料卖增肌价，ON金标、康比特、诺特兰德、京造全测了，618抄底
左博士健康百科
Ora植物蛋白粉，乳清过敏也能喝的安心选择
养生食谱实践站
蛋白粉怎么选？我的几款亲测好喝分享
营养塑形日记
乳糖不耐受必看！6 款放心喝的蛋白粉
营养师实验室</x:v>
      </x:c>
      <x:c r="I67" s="5" t="str">
        <x:v>否</x:v>
      </x:c>
      <x:c r="J67" s="5" t="str"/>
      <x:c r="K67" s="5" t="str"/>
      <x:c r="L67" s="5" t="str"/>
      <x:c r="M67" s="5" t="str"/>
      <x:c r="N67" s="5" t="str">
        <x:v>类型建议或无品牌</x:v>
      </x:c>
      <x:c r="O67" s="5" t="str"/>
      <x:c r="P67" s="5" t="str"/>
      <x:c r="Q67" s="5" t="str"/>
      <x:c r="R67" s="5" t="str">
        <x:v>一喝蛋白粉就肚子不舒服这五个真相要知道_39健康网
消化乳糖能力弱怎么选蛋白粉八问八答_39健康网
肠胃敏感_康复人群选什么乳清蛋白粉？纽特舒玛适配度高_39健康网
肠胃怕乳糖的蛋白补充解决方案_39健康网
肠胃对乳糖敏感的人蛋白粉方案排行榜_39健康网
中老年人蛋白粉哪个安全？核心认准三大标准_中国网
喝蛋白粉拉肚子怎么办-专家文章-博禾医生
乳糖不耐喝什么蛋白粉安全不胀气？元素力蛋白粉有乳糖吗？_中国网</x:v>
      </x:c>
      <x:c r="S67" s="5" t="str">
        <x:v>https://m.39.net/news/a_m1wor43.html
https://m.39.net/news/a_b6woqla.html
https://m.39.net/news/a_i2wqu57.html
https://m.39.net/news/a_w1woqkx.html
https://m.39.net/news/a_u3woqlk.html
http://food.china.com.cn/2026-07/07/content_118586600.shtml
https://www.bohe.cn/article/view/ukcgtwfozkf5m0f.html
http://food.china.com.cn/2026-07/07/content_118586624.shtml</x:v>
      </x:c>
      <x:c r="T67" s="5" t="str">
        <x:v>m.39.net
m.39.net
m.39.net
m.39.net
m.39.net
food.china.com.cn
www.bohe.cn
food.china.com.cn</x:v>
      </x:c>
      <x:c r="U67" s="5" t="str">
        <x:v>是</x:v>
      </x:c>
      <x:c r="V67" s="5" t="str"/>
      <x:c r="W67" s="5" t="str">
        <x:v>https://www.qianwen.com/chat/5b395253449447da88b31cb7f3df0c69</x:v>
      </x:c>
      <x:c r="X67" s="5" t="n">
        <x:v>8</x:v>
      </x:c>
      <x:c r="Y67" s="5" t="str">
        <x:v>否</x:v>
      </x:c>
    </x:row>
    <x:row r="68" ht="34" customHeight="1">
      <x:c r="A68" s="5" t="str">
        <x:v>Q7</x:v>
      </x:c>
      <x:c r="B68" s="5" t="str">
        <x:v>健身新手应该买什么蛋白粉？</x:v>
      </x:c>
      <x:c r="C68" s="5" t="str">
        <x:v>需求解决</x:v>
      </x:c>
      <x:c r="D68" s="5" t="str">
        <x:v>千问</x:v>
      </x:c>
      <x:c r="E68" s="5" t="str">
        <x:v>自然</x:v>
      </x:c>
      <x:c r="F68" s="5" t="str">
        <x:v>2026/9/28 15:31:59</x:v>
      </x:c>
      <x:c r="G68" s="5" t="str">
        <x:v>有效</x:v>
      </x:c>
      <x:c r="H68" s="5" t="str">
        <x:v>健身新手选择蛋白粉，核心逻辑是“先定需求，再看参数”，避免被营销话术带偏。以下是为新手整理的选购指南：
一、先判断你是否需要蛋白粉
蛋白粉是蛋白质缺口的补充工具，不是必需品。先粗算日常摄入：
每公斤体重每天需1.0-1.2克蛋白质（健身增肌可取1.5-2.0克）。
一个鸡蛋约6-7克蛋白，一杯牛奶约8克，一两瘦肉约10克。
若三餐吃够，无需额外补充；若存在20-30克缺口，蛋白粉才是合理选项。
二、新手首选类型：浓缩乳清蛋白
乳清蛋白是健身人群的主流选择，吸收快、氨基酸谱完整。新手优先选浓缩乳清蛋白，原因如下：
性价比高：蛋白含量70%-80%，价格亲民，适合预算有限的新手。
吸收速度适中：30-60分钟吸收，满足训练后基础补充需求。
注意：若喝牛奶会腹胀腹泻（乳糖不耐受），需直接选分离乳清蛋白（乳糖含量极低，蛋白含量85%-90%以上）。
三、选购核心指标
看配料表：首位必须是目标蛋白（如“浓缩乳清蛋白”），行数越短越好，避免白砂糖、麦芽糊精、人工香精等冗余添加。
看蛋白含量：每100克蛋白质含量建议70%以上，每勺蛋白量15克以上（20克更佳）。
看认证资质：优先选择有蓝帽认证、NSF-cGMP、第三方检测报告（SGS/Intertek等）的产品，避免成分虚标。
算性价比：用“产品单价÷蛋白质总克数”计算每克蛋白成本，≤0.6元/克为佳。
四、新手推荐品牌（排名不分先后）
表格
下载为表格
导出为图片
品牌
类型
特点
适合人群
ON欧普特蒙金标	浓缩+分离乳清	全球销量领先，口味多，溶解性好	追求稳妥体验的新手
康比特	浓缩乳清	国产老牌，价格友好，无蔗糖添加	预算有限的入门者
FoYes速生	四重快慢蛋白矩阵	获ITI国际美味奖，肠胃负担小	注重口味和吸收的新手
赛霸	混合蛋白	运动营养国标起草单位出品，溶解性好	高性价比需求者
汤臣倍健小白罐	动植物双蛋白	添加益生元，配方温和	肠胃敏感的新手
五、避坑提醒
别只看价格：浓缩款便宜，但乳糖不耐受者喝了会腹胀腹泻，反而浪费。
别被口味迷惑：奶茶味、曲奇味往往配料表更长，天天喝的东西，干净比好喝重要。
先买小规格试喝：确认口味和肠胃适应性后再买大罐，避免因口感差或不适导致搁置。
冲泡用40℃温水：先水后粉，避免高温导致蛋白变性结块。
六、服用建议
时机：训练后30分钟内补充20-30克，或作为早餐/下午加餐。
剂量：结合单勺蛋白含量和体重调整，不要过量（健康人群每日蛋白摄入不超过2克/公斤体重）。
蛋白粉只是补充手段，不能替代正餐。配合均衡饮食和科学训练，才能看到效果。
喝牛奶会腹胀或拉肚子吗？有的话推荐直接上分离乳清，没有的话浓缩款性价比更高。
02:08
【蛋白粉推荐2026】从夯到拉锐评市面上的热门蛋白粉，极速避雷版 蛋白粉推荐
蛋白粉推荐2026
新手入门蛋白粉，这6款好喝又实惠
奶锅漫游者
涨知识了：4款优质蛋白粉推荐，新手健身必备
运动装备库
08:49
【自费评测】蛋白粉怎么选？2026 蛋白粉推荐 蛋白粉不踩坑指南，3分钟学会选粉，私教课500一节的干货免费送！
军伟好物
新手选蛋白粉，这几款热门选手特点盘点
素食小老弟
04:29
乳清蛋白大涨？酵母蛋白粉成性价比首选？谁才是最有性价比性价比的那一个？
酵母蛋白粉
健身新手选蛋白粉，先看你的目标
健身重量记录者
21:44
【2026年9月增肌蛋白粉推荐】20款万字大横评！全程无广！建议收藏，增肌蛋白粉选购攻略，全价位段，康比特/赛霸/FoYes/训练怪兽/京造，增肌蛋白粉怎么选？
犀牛好物严选
13:15
【2026年最新蛋白粉推荐】5款爆款蛋白粉横评｜蛋白粉怎么选？｜京东京造/康比特/赛霸/六星/HotRule实测
蛋白粉测评
健身新手选蛋白粉，这几款我喝下来觉得康比特就够了
万事屋</x:v>
      </x:c>
      <x:c r="I68" s="5" t="str">
        <x:v>否</x:v>
      </x:c>
      <x:c r="J68" s="5" t="str"/>
      <x:c r="K68" s="5" t="str"/>
      <x:c r="L68" s="5" t="str"/>
      <x:c r="M68" s="5" t="str">
        <x:v>赛霸/小赛同学、康比特、汤臣倍健、FoYes/赴野士、ON/欧普特蒙</x:v>
      </x:c>
      <x:c r="N68" s="5" t="str">
        <x:v>品牌提及/类型说明</x:v>
      </x:c>
      <x:c r="O68" s="5" t="str"/>
      <x:c r="P68" s="5" t="str"/>
      <x:c r="Q68" s="5" t="str"/>
      <x:c r="R68" s="5" t="str">
        <x:v>第一次买蛋白粉怎么选——新手完整选购指南与品牌参考_39健康网
不同人群蛋白粉怎么选？FoYes按训练场景拆清楚--资讯--中国经济新闻网
平价又好用的蛋白粉品牌选哪个？盘点2026平价蛋白粉十大品牌，好用不贵学生必备_39健康网
蛋白粉品牌推荐：新手入门必读的选购路线_医联媒体
蛋白粉哪些值得推荐？2026年品牌量化实测TOP榜单-复禾健康
健身吃什么样的蛋白粉好？-肉蛋类-博禾医生
十款热门蛋白粉产品档案：品牌名称背后的配方路线_凤凰网
健身蛋白粉排名 2026年蛋白粉科学选购指南・高纯度易吸收・新手避坑必看_39健康网
什么品牌的蛋白粉最好？2026年最新推荐先把问题问对_医联媒体
不同人群蛋白粉品牌推荐排行榜——十大品牌适用人群逐一分析_39健康网
不同健身人群怎么选蛋白粉？FoYes类型匹配不踩坑_亳州新闻网</x:v>
      </x:c>
      <x:c r="S68" s="5" t="str">
        <x:v>https://m.39.net/news/a_v6wp7eo.html
https://www.cet.com.cn/wzsy/kjzx/10484085.shtml
https://m.39.net/baike/a_j1wnoic.html
https://www.yilianmeiti.com/article/2964705.html
https://news.fh21.com.cn/view/8916549.html
https://www.bohe.cn/iask/view/xmnpr8mdkn7xl2e.html
http://sd.ifeng.com/c/8wlfWA6XuB9
https://m.39.net/baike/a_v7wmmr7.html
https://www.yilianmeiti.com/article/2964706.html
https://m.39.net/disease/a_n3wp7fa.html
http://www.bozhou.cn/p/395585.html</x:v>
      </x:c>
      <x:c r="T68" s="5" t="str">
        <x:v>m.39.net
www.cet.com.cn
m.39.net
www.yilianmeiti.com
news.fh21.com.cn
www.bohe.cn
sd.ifeng.com
m.39.net
www.yilianmeiti.com
m.39.net
www.bozhou.cn</x:v>
      </x:c>
      <x:c r="U68" s="5" t="str">
        <x:v>是</x:v>
      </x:c>
      <x:c r="V68" s="5" t="str"/>
      <x:c r="W68" s="5" t="str">
        <x:v>https://www.qianwen.com/chat/a1aa8dee66c24e7099a671b26371b8e9</x:v>
      </x:c>
      <x:c r="X68" s="5" t="n">
        <x:v>11</x:v>
      </x:c>
      <x:c r="Y68" s="5" t="str">
        <x:v>否</x:v>
      </x:c>
    </x:row>
    <x:row r="69" ht="34" customHeight="1">
      <x:c r="A69" s="5" t="str">
        <x:v>Q8</x:v>
      </x:c>
      <x:c r="B69" s="5" t="str">
        <x:v>增肌训练喝什么蛋白粉比较合适？</x:v>
      </x:c>
      <x:c r="C69" s="5" t="str">
        <x:v>需求解决</x:v>
      </x:c>
      <x:c r="D69" s="5" t="str">
        <x:v>千问</x:v>
      </x:c>
      <x:c r="E69" s="5" t="str">
        <x:v>自然</x:v>
      </x:c>
      <x:c r="F69" s="5" t="str">
        <x:v>2026/9/28 15:32:11</x:v>
      </x:c>
      <x:c r="G69" s="5" t="str">
        <x:v>有效</x:v>
      </x:c>
      <x:c r="H69" s="5" t="str">
        <x:v>增肌训练首选乳清蛋白粉。它吸收快、氨基酸全面，能高效促进肌肉合成。若乳糖不耐受或严格控脂，可选分离乳清蛋白；素食或植物偏好者可选大豆蛋白。
为什么首选乳清蛋白
乳清蛋白源自牛奶，吸收快且氨基酸全面，是增肌的首选。在阻力训练后，肌肉纤维会出现微小撕裂，此时身体急需优质蛋白来修复和重建。乳清蛋白的氨基酸配比非常契合人体需求，能迅速进入血液，为肌肉生长提供充足原料。
特殊体质的替代选择
乳糖不耐受或易腹胀：普通乳清蛋白含有少量乳糖，可能会引起肠胃不适。此时建议选择分离乳清蛋白，它经过进一步提纯，去除了大部分乳糖和脂肪，既能保证蛋白质摄入，又不会给肠胃带来负担。
素食或植物偏好：可以选择大豆蛋白或混合植物蛋白。虽然植物蛋白的吸收速度略逊于动物蛋白，但通过合理搭配（如大豆加豌豆），也能获得全面的氨基酸，满足增肌需求。
选购与饮用关键建议
看配料表：优选蛋白质含量高（每100克大于80克）、碳水和脂肪低的产品。尽量避开添加了大量糖浆、麦芽糊精或复杂添加剂的款式。
饮用时机：建议在训练后30分钟内饮用。此时肌肉对营养的吸收效率最高，能快速缓解疲劳并启动肌肉修复。
分清蛋白粉与增肌粉：增肌粉中添加了大量碳水化合物，适合极度消瘦、难以通过日常饮食吃够热量的人群。如果你体重正常或略微偏胖，直接喝纯蛋白粉配合正常饮食即可，避免摄入过多碳水导致脂肪堆积。
不能替代正餐：蛋白粉只是膳食补充剂，不能替代正常的三餐。瘦肉、鱼虾、蛋奶等天然食物依然是蛋白质的重要来源。
增肌的核心是科学训练配合充足营养。蛋白粉能帮你更方便地补足蛋白质缺口，但前提是保持规律的抗阻训练，并注意整体饮食的均衡。
为了给你更具体的建议，我想了解一下：
你平时有乳糖不耐受或肠胃容易不舒服的情况吗？
你目前的训练频率大概是怎样的？
国产蛋白粉大盘点！增肌党闭眼入不踩雷
果酱分享屋
02:08
【蛋白粉推荐2026】从夯到拉锐评市面上的热门蛋白粉，极速避雷版 蛋白粉推荐
蛋白粉推荐2026
185cm/80kg健身一年半增肌参考｜四款蛋白粉客观对比
阿星创作所
健身增肌必看！我喝过的蛋白粉推荐及体验分享
笔记解剖室
01:27
练肌肉应该选增肌粉还是蛋白粉
花泽不鹿
健身增肌，选对蛋白粉是关键
Vv健身
21:44
【2026年9月增肌蛋白粉推荐】20款万字大横评！全程无广！建议收藏，增肌蛋白粉选购攻略，全价位段，康比特/赛霸/FoYes/训练怪兽/京造，增肌蛋白粉怎么选？
犀牛好物严选
健身人增肌必看，这几款高蛋白蛋白粉值得购买！
网球充电宝
01:54
健身吃什么蛋白粉好
了不起的身体
02:27
健身小白如何选择蛋白粉啊
李珈一</x:v>
      </x:c>
      <x:c r="I69" s="5" t="str">
        <x:v>否</x:v>
      </x:c>
      <x:c r="J69" s="5" t="str"/>
      <x:c r="K69" s="5" t="str"/>
      <x:c r="L69" s="5" t="str"/>
      <x:c r="M69" s="5" t="str"/>
      <x:c r="N69" s="5" t="str">
        <x:v>类型建议或无品牌</x:v>
      </x:c>
      <x:c r="O69" s="5" t="str"/>
      <x:c r="P69" s="5" t="str"/>
      <x:c r="Q69" s="5" t="str"/>
      <x:c r="R69" s="5" t="str">
        <x:v>《乳清蛋白在运动营养方面的作用》
增肌吃什么样的蛋白粉
《特殊人群营养学_第1版》
热门蛋白粉推荐：助你健身之路，轻松增肌！
蛋白粉，你真的选对了吗？听听中山一院广西医院营养科医生的“硬核”建议
图文详情
四款热门增肌蛋白粉推荐，快来种草！
蛋白粉，你吃对了吗？
健身增肌粉蛋白粉选哪个合适
国家基层肥胖症综合管理技术指南(2025)
经常喝蛋白粉，能不能起到增肌的效果呢？
蛋白粉锻炼增肌推荐 蛋白粉品牌排行榜2025年权威榜单揭晓
增肌蛋白粉推荐，让你轻松塑形！
健身小白想增肌，看看这几款热门蛋白粉！</x:v>
      </x:c>
      <x:c r="S69" s="5" t="str">
        <x:v>https://vt.quark.cn/blm/med-ai-page-946/index?x_render_type=ssr&amp;uc_biz_str=OPT%3ABACK_BTN_STYLE%400%7COPT%3AS_BAR_BG_COLOR%40ffffff&amp;query=VdB%2BLV7w7lHHEp%2Fo7ZfF0K0TLq2LPDPl5S2gAXcHFWM%3D&amp;url=VdB%2BLV7w7lHHEp%2Fo7ZfF0D%2FGcYWgqmiNaiq3f%2BIRmtdx4QvqVreie101R2Qwa8KwVAlI1v5XoTh8mbnnYZDyAJIYluAimsVWiUxy2o1Acyv3BIO0U2jOJBehAO7h97Z7&amp;token=917966444871
https://page.sm.cn/blm/midpage-317/index?h=m.120ask.com&amp;id=16_8e9fade2a02acb5903eb79fb9853ad4f&amp;anchor=%E5%B8%B8%E8%A7%81%E9%80%82%E5%90%88%E5%A2%9E%E8%82%8C%E8%80%85%E9%A3%9F%E7%94%A8%E7%9A%84%E8%9B%8B%E7%99%BD%E7%B2%89%E7%B1%BB%E5%9E%8B%E6%9C%89%E4%B9%B3%E6%B8%85%E8%9B%8B%E7%99%BD%E7%B2%89%E3%80%81%E5%A4%A7%E8%B1%86%E8%9B%8B%E7%99%BD%E7%B2%89%E3%80%81%E9%B8%A1%E8%9B%8B%E8%9B%8B%E7%99%BD%E7%B2%89%E3%80%81%E8%83%B6%E5%8E%9F%E8%9B%8B%E7%99%BD%E8%9B%8B%E7%99%BD%E7%B2%89%E7%AD%89%E3%80%82
https://vt.quark.cn/blm/med-ai-page-946/index?x_render_type=ssr&amp;uc_biz_str=OPT%3ABACK_BTN_STYLE%400%7COPT%3AS_BAR_BG_COLOR%40ffffff&amp;query=VdB%2BLV7w7lHHEp%2Fo7ZfF0K0TLq2LPDPl5S2gAXcHFWM%3D&amp;url=VdB%2BLV7w7lHHEp%2Fo7ZfF0D%2FGcYWgqmiNaiq3f%2BIRmtddE9AMiPyh%2FrC2JQGmHRBmPqjD1SLnl97SN7e84x4DNG5BkwiENcCB9xvlQMFk7sMMydiFsfTw8MxlQMFq8Vzy&amp;token=917966444871
https://page.sm.cn/blm/midpage-317/index?h=v1.hao_produce_note.quark.cn&amp;id=28_a28661ba1c21718ca6d26ba383c220b8&amp;anchor=%E5%BA%B7%E6%AF%94%E7%89%B9%E9%85%B8%E5%A5%B6%E4%B9%B3%E6%B8%85+%E4%BB%A5%E6%B5%93%E7%BC%A9%E4%B9%B3%E6%B8%85%E4%B8%BA%E5%9F%BA%E7%A1%80%E7%9A%84%E9%AB%98%E8%B4%A8%E9%87%8F%E8%9B%8B%E7%99%BD%E7%B2%89%EF%BC%8C%E9%80%82%E5%90%88%E5%81%A5%E8%BA%AB%E4%BA%BA%E7%BE%A4%E3%80%82%E5%AE%83%E4%B8%8D%E4%BB%85%E5%90%AB%E6%9C%89%E4%B8%B0%E5%AF%8C%E7%9A%84%E4%BC%98%E8%B4%A8%E8%9B%8B%E7%99%BD%E8%B4%A8%EF%BC%8C%E8%BF%98%E6%B7%BB%E5%8A%A0%E4%BA%86%E9%85%B8%E5%A5%B6%E6%88%90%E5%88%86%EF%BC%8C%E5%8F%A3%E6%84%9F%E9%A1%BA%E6%BB%91%EF%BC%8C%E9%80%82%E5%90%88%E8%BF%90%E5%8A%A8%E5%90%8E%E9%A5%AE%E7%94%A8%E3%80%82%E5%85%B6%E8%9B%8B%E7%99%BD%E8%B4%A8%E5%90%AB%E9%87%8F%E9%AB%98%EF%BC%8C%E8%83%BD%E5%A4%9F%E6%9C%89%E6%95%88%E6%94%AF%E6%8C%81%E8%82%8C%E8%82%89%E7%94%9F%E9%95%BF%E5%92%8C%E6%81%A2%E5%A4%8D%EF%BC%8C%E9%9D%9E%E5%B8%B8%E9%80%82%E5%90%88%E9%9C%80%E8%A6%81%E5%A2%9E%E8%82%8C%E7%9A%84%E6%9C%8B%E5%8F%8B
https://zsyygxyy.org.cn/news/newsyyxw/4850.html
https://cloud.kepuchina.cn/newSearch/imgText?id=7436887708973338624
https://page.sm.cn/blm/midpage-317/index?h=v1.hao_produce_note.quark.cn&amp;id=28_d110c1ce966da88b59705138b75cd7d0&amp;anchor=%E6%B1%87%E8%88%92%E5%85%83%E8%9B%8B%E7%99%BD%E7%B2%89%EF%BC%9A%F0%9F%92%AA%E8%9B%8B%E7%99%BD%E8%B4%A8%E5%90%AB%E9%87%8F%E9%AB%98%EF%BC%8C%E8%83%BD%E4%B8%BA%E8%82%8C%E8%82%89%E7%94%9F%E9%95%BF%E6%8F%90%E4%BE%9B%E5%85%85%E8%B6%B3%E7%9A%84%E5%8E%9F%E6%96%99%E3%80%82%F0%9F%A5%9B%E5%8F%AF%E8%83%BD%E5%90%AB%E6%9C%89%E5%A4%9A%E7%A7%8D%E4%BC%98%E8%B4%A8%E8%9B%8B%E7%99%BD%E8%B4%A8%E6%9D%A5%E6%BA%90%EF%BC%8C%E5%A6%82%E4%B9%B3%E6%B8%85%E8%9B%8B%E7%99%BD%E3%80%81%E5%A4%A7%E8%B1%86%E8%9B%8B%E7%99%BD%E7%AD%89%EF%BC%8C%E6%9C%89%E5%8A%A9%E4%BA%8E%E5%85%A8%E9%9D%A2%E8%A1%A5%E5%85%85%E8%BA%AB%E4%BD%93%E6%89%80%E9%9C%80%E7%9A%84%E6%B0%A8%E5%9F%BA%E9%85%B8%E3%80%82%F0%9F%98%83%E5%B0%A4%E5%85%B6%E9%80%82%E5%90%88%E6%9C%89%E5%A2%9E%E8%82%8C%E5%A2%9E%E9%87%8D%E9%9C%80%E6%B1%82%E7%9A%84%E4%BA%BA%E7%BE%A4%EF%BC%8C%E7%BB%8F%E8%BF%87%E4%B8%80%E6%AE%B5%E6%97%B6%E9%97%B4%E7%9A%84%E9%A5%AE%E7%94%A8%EF%BC%8C%E8%83%BD%E6%98%8E
http://www.haian.gov.cn/haswjw/jkxj/content/82eaebfe-5218-47c9-b631-a3be2a856c64.html
https://www.toutiao.com/article/6959790265586483750/
https://vt.quark.cn/blm/med-ai-page-946/index?x_render_type=ssr&amp;uc_biz_str=OPT%3ABACK_BTN_STYLE%400%7COPT%3AS_BAR_BG_COLOR%40ffffff&amp;query=VdB%2BLV7w7lHHEp%2Fo7ZfF0K0TLq2LPDPl5S2gAXcHFWM%3D&amp;url=VdB%2BLV7w7lHHEp%2Fo7ZfF0D%2FGcYWgqmiNaiq3f%2BIRmtfVWO6SPaPIKcU4kqB%2F9QZXPwxa7ZikfU53L3bgeDZhPXkpCKeumicXl8jUxrrVJAUmZia5ztf%2BIqr90LNIJIs4&amp;token=917966444871
http://www.toutiao.com/article/6986859815221887525/
https://www.toutiao.com/article/7567641846428484136/
https://page.sm.cn/blm/midpage-317/index?h=v1.hao_produce_note.quark.cn&amp;id=28_e6d14d06e73bee147a87a7d85d1db4ed&amp;anchor=%E8%9B%8B%E7%99%BD%E7%B2%89%E9%80%9A%E5%B8%B8%E5%90%AB%E6%9C%89%E4%B8%B0%E5%AF%8C%E7%9A%84%E4%BC%98%E8%B4%A8%E8%9B%8B%E7%99%BD%E8%B4%A8%2C%E5%A6%82%E4%B9%B3%E6%B8%85%E8%9B%8B%E7%99%BD%E5%92%8C%E5%88%86%E7%A6%BB%E8%9B%8B%E7%99%BD%2C%E8%83%BD%E5%A4%9F%E6%9C%89%E6%95%88%E5%9C%B0%E4%B8%BA%E8%82%8C%E8%82%89%E7%94%9F%E9%95%BF%E6%8F%90%E4%BE%9B%E6%89%80%E9%9C%80%E7%9A%84%E8%90%A5%E5%85%BB%E7%89%A9%E8%B4%A8%2C%E5%8A%A9%E4%BD%A0%E4%B8%80%E8%87%82%E4%B9%8B%E5%8A%9B%EF%BC%81
https://page.sm.cn/blm/midpage-317/index?h=v1.hao_produce_note.quark.cn&amp;id=28_b573a5ac1dabfecb80d474e28f640154&amp;anchor=%E5%81%A5%E7%BB%B4%E6%BE%B3%E4%BD%B3%E5%A2%9E%E8%82%8C%E7%B2%89%EF%BC%9A%E5%AF%8C%E5%90%AB%E4%BC%98%E8%B4%A8%E8%9B%8B%E7%99%BD%E5%92%8C%E7%A2%B3%E6%B0%B4%E5%8C%96%E5%90%88%E7%89%A9%EF%BC%8C%E4%B8%BA%E8%82%8C%E8%82%89%E7%94%9F%E9%95%BF%E6%8F%90%E4%BE%9B%E8%83%BD%E9%87%8F%E5%92%8C%E8%90%A5%E5%85%BB%EF%BC%8C%E5%A2%9E%E5%8A%A0%E8%82%8C%E8%82%89%E8%B4%A8%E9%87%8F%E5%92%8C%E5%8A%9B%E9%87%8F%EF%BC%8C%E9%80%82%E5%90%88%E5%81%A5%E8%BA%AB%E7%88%B1%E5%A5%BD%E8%80%85%E7%AD%89%E4%BA%BA%E7%BE%A4%EF%BC%8C%E9%94%BB%E7%82%BC%E5%89%8D%E5%90%8E%E6%88%96%E4%B8%A4%E9%A4%90%E4%B9%8B%E9%97%B4%E9%A5%AE%E7%94%A8%E3%80%82</x:v>
      </x:c>
      <x:c r="T69" s="5" t="str">
        <x:v>vt.quark.cn
page.sm.cn
vt.quark.cn
page.sm.cn
zsyygxyy.org.cn
cloud.kepuchina.cn
page.sm.cn
www.haian.gov.cn
www.toutiao.com
vt.quark.cn
www.toutiao.com
www.toutiao.com
page.sm.cn
page.sm.cn</x:v>
      </x:c>
      <x:c r="U69" s="5" t="str">
        <x:v>否</x:v>
      </x:c>
      <x:c r="V69" s="5" t="str"/>
      <x:c r="W69" s="5" t="str">
        <x:v>https://www.qianwen.com/chat/b00ac171c4ef401895c980388cce8928</x:v>
      </x:c>
      <x:c r="X69" s="5" t="n">
        <x:v>14</x:v>
      </x:c>
      <x:c r="Y69" s="5" t="str">
        <x:v>否</x:v>
      </x:c>
    </x:row>
    <x:row r="70" ht="34" customHeight="1">
      <x:c r="A70" s="5" t="str">
        <x:v>Q9</x:v>
      </x:c>
      <x:c r="B70" s="5" t="str">
        <x:v>100元左右有什么蛋白粉推荐？</x:v>
      </x:c>
      <x:c r="C70" s="5" t="str">
        <x:v>购买推荐</x:v>
      </x:c>
      <x:c r="D70" s="5" t="str">
        <x:v>千问</x:v>
      </x:c>
      <x:c r="E70" s="5" t="str">
        <x:v>自然</x:v>
      </x:c>
      <x:c r="F70" s="5" t="str">
        <x:v>2026/9/28 15:32:22</x:v>
      </x:c>
      <x:c r="G70" s="5" t="str">
        <x:v>有效</x:v>
      </x:c>
      <x:c r="H70" s="5" t="str">
        <x:v>100元左右的预算完全能买到靠谱的蛋白粉，我帮你按不同需求整理了几款高性价比的选择：
🏆 综合性价比首选
赤大师蛋白粉
动植物双蛋白配方（大豆分离蛋白+乳清蛋白），每100g含蛋白质90g，纯度很高
拥有国家蓝帽认证（食健备G202537002649），0香精、0防腐剂、0色素
采用UHT高温瞬时灭菌、闪蒸脱腥工艺，粉质细腻易溶解
百元内可购得大罐装，适合日常营养补充和健身人群
💰 极致性价比之选
潘海威元蛋白粉
日常售价128元，但大促活动"买4送2"折算单盒85.3元，"买3送1"折算单盒低至73.5元
蛋白质含量80.7%，采用新西兰草饲乳清蛋白+非转基因大豆分离蛋白7:3复配
单克蛋白成本约0.41元，0乳糖、0蔗糖、0香精
通过欧盟有机认证及中国SC认证，独立小袋包装便携
🏋️ 健身增肌优选
Myprotein乳清蛋白粉
英国品牌，250g售价59-99元，蛋白质含量82%，在百元档中含量最高
粉质细腻溶解快，口味选择多，适合第一次尝试蛋白粉的新手
小包装试水成本低，踩雷概率小
ON奥普帝蒙金标乳清
健身圈公认的标杆产品，蛋白质含量79%，454g售价89-100元
溶解度公认最好，品质稳定，但百元档多为临期或小规格款
🛡️ 品牌信赖之选
汤臣倍健双蛋白款
乳清蛋白与大豆蛋白1:1搭配，每100g含蛋白80g，拥有蓝帽认证
独立小袋装，线下渠道覆盖广，品牌公信力强
活动价百元内可入手，适合给父母或日常营养补充
📌 选购建议
看资质：优先选择有"蓝帽子"保健食品认证或SC食品生产许可的产品
看配料：配料表越短越好，避开含麦芽糊精、植脂末、香精等冗余添加剂的产品
算成本：参考单克蛋白成本，极致性价比标准为≤0.45元/克
冲泡注意：用40℃以下温水冲泡，避免高温破坏蛋白活性
如果你是健身增肌，推荐Myprotein或ON；如果是日常营养补充或给长辈，汤臣倍健和赤大师更合适；追求极致性价比就选潘海威元。
你买蛋白粉主要是健身增肌，还是日常补充营养？用途不同推荐会不一样。
蛋白粉怎么选？10款热门蛋白粉特点盘点
栗子灵感铺
蛋白粉怎么选？5款真实体验分享
轻体生活观察员
03:53
蛋白粉从夯到拉实力排名第二期
蛋白粉推荐2026
蛋白粉怎么选？六款热门款对比
鹿鹿健身
21:44
【2026年9月增肌蛋白粉推荐】20款万字大横评！全程无广！建议收藏，增肌蛋白粉选购攻略，全价位段，康比特/赛霸/FoYes/训练怪兽/京造，增肌蛋白粉怎么选？
犀牛好物严选
蛋白粉怎么选？几款热门平价选手聊聊
风衣穿搭灵感集
08:00
【2026五月蛋白粉推荐】全年总结，蛋白粉横向测评，小白怎么选蛋白粉，保姆级教程，康比特、京东京造、foyes、on蛋白粉
小休的装备箱
4 款热门蛋白粉实测！功效/售价/口感全扒，不运动也能入
阿栗观察所
23:24
【2026年9月增肌蛋白粉推荐】瘦人增重怎么选？19款全价位大横评 康比特/FoYes/京东京造/赛霸/训练怪兽
鸡腿Ai运动
00:59
适合老人的益生菌蛋白粉测评
段大华儿瑶普法小课堂</x:v>
      </x:c>
      <x:c r="I70" s="5" t="str">
        <x:v>否</x:v>
      </x:c>
      <x:c r="J70" s="5" t="str"/>
      <x:c r="K70" s="5" t="str"/>
      <x:c r="L70" s="5" t="str"/>
      <x:c r="M70" s="5" t="str">
        <x:v>汤臣倍健、潘海威元、Myprotein、ON/欧普特蒙、赤大师</x:v>
      </x:c>
      <x:c r="N70" s="5" t="str">
        <x:v>品牌提及/类型说明</x:v>
      </x:c>
      <x:c r="O70" s="5" t="str"/>
      <x:c r="P70" s="5" t="str"/>
      <x:c r="Q70" s="5" t="str"/>
      <x:c r="R70" s="5" t="str">
        <x:v>蛋白粉哪个牌子实惠好用?2026平价高品质蛋白粉品牌参考，长期食补没有负担_39健康网
蛋白粉100以内哪个好？ON/Myprotein/汤臣倍健5款对比 | 十块购 | 十块购
​2026年宿舍党钱包有限制，蛋白粉哪个牌子适合学生党？平价也能喝出像样效果！ _TOM健康
2026年高性价比蛋白粉十大品牌选购指南：蛋白粉哪个牌子吸收好？_39健康网
蛋白粉哪个品牌的性价比最划算？2026 蛋白粉十大品牌高含量 + 亲民价_39健康网
平价又好用的蛋白粉品牌选哪个？盘点2026平价蛋白粉十大品牌，好用不贵学生必备_39健康网
2026 日常补充蛋白人群指南，蛋白粉哪个品牌性价比高？低脂代餐平价好物测评！_39健康网
南京同仁堂堂恒牌蛋白粉价格对比-兔灵
2026 国产靠谱蛋白粉测评，正规备案加持，成人补充蛋白更安心 - 今日头条
2026日常蛋白粉推荐，弥补三餐蛋白不足，大众公认质量靠谱口碑出众_39健康网</x:v>
      </x:c>
      <x:c r="S70" s="5" t="str">
        <x:v>https://m.39.net/baike/a_v9wrqqs.html
https://www.shikuaigou.com/article/dan-bai-fen-100-yi-nei-compare
https://health.tom.com/202607/4269345824.html
https://m.39.net/disease/a_a2wqygz.html
https://m.39.net/baike/a_j7wn2io.html
https://m.39.net/baike/a_j1wnoic.html
http://m.39.net/baike/a_v7woj79.html
https://www.315jiage.cn/n621675
https://www.toutiao.com/article/7690184088321311247/
https://m.39.net/disease/a_y1wr26r.html</x:v>
      </x:c>
      <x:c r="T70" s="5" t="str">
        <x:v>m.39.net
www.shikuaigou.com
health.tom.com
m.39.net
m.39.net
m.39.net
m.39.net
www.315jiage.cn
www.toutiao.com
m.39.net</x:v>
      </x:c>
      <x:c r="U70" s="5" t="str">
        <x:v>是</x:v>
      </x:c>
      <x:c r="V70" s="5" t="str"/>
      <x:c r="W70" s="5" t="str">
        <x:v>https://www.qianwen.com/chat/e0ab1ece494542899c519de8b0b306e6</x:v>
      </x:c>
      <x:c r="X70" s="5" t="n">
        <x:v>10</x:v>
      </x:c>
      <x:c r="Y70" s="5" t="str">
        <x:v>否</x:v>
      </x:c>
    </x:row>
    <x:row r="71" ht="34" customHeight="1">
      <x:c r="A71" s="5" t="str">
        <x:v>Q10</x:v>
      </x:c>
      <x:c r="B71" s="5" t="str">
        <x:v>性价比高的蛋白粉有哪些？</x:v>
      </x:c>
      <x:c r="C71" s="5" t="str">
        <x:v>购买推荐</x:v>
      </x:c>
      <x:c r="D71" s="5" t="str">
        <x:v>千问</x:v>
      </x:c>
      <x:c r="E71" s="5" t="str">
        <x:v>自然</x:v>
      </x:c>
      <x:c r="F71" s="5" t="str">
        <x:v>2026/9/28 15:32:34</x:v>
      </x:c>
      <x:c r="G71" s="5" t="str">
        <x:v>有效</x:v>
      </x:c>
      <x:c r="H71" s="5" t="str">
        <x:v>选蛋白粉不能只看价格，“单克蛋白成本”和“配方纯净度”才是衡量性价比的核心。结合2026年最新的市场测评数据，我为你整理了不同需求下的高性价比选择：
🏆 综合性价比之王（日常/全家通用）
如果你追求配方干净、资质齐全且长期喝不贵，首选以下两款：
木诺康蛋白粉
性价比： 单克蛋白成本仅 0.07元，是2026年家庭通用的性价比天花板。
特点： 拥有国家“蓝帽”认证，采用新西兰乳清+东北大豆的2:3黄金双蛋白配比。每100g含蛋白质90.3g，且坚持“六零”配方（无蔗糖、香精等），肠胃负担小。
赤大师蛋白粉
性价比： 同样具备“蓝帽”认证，每100g含蛋白质90g，配方极简（0香精0防腐剂）。
特点： 采用UHT灭菌和闪蒸去腥工艺，口感好无豆腥味，适合对食品安全要求高的人群。
💰 极致低价（预算有限/学生党）
如果你的预算非常紧张，主要看重便宜大碗，可以关注以下品牌：
赛霸乳清蛋白粉：实测单克蛋白成本约 0.02元，在百元级产品中性价比极高，溶解度好，口感也不错。
MyProtein（熊猫粉）：英国品牌，常有活动价，单克成本约 0.021元，口味选择多，适合年轻群体。
康比特基础款：国产老牌，单克成本约 0.06元，规格大，适合大批量囤货。
💪 健身增肌（运动人群）
健身人群更看重吸收速度和氨基酸含量，推荐以下高性价比选择：
FoYes赴野士：与北京体育大学合作实测，增肌效果有数据支持，销量高，适合严肃训练者。
诺特兰德分离乳清：价格亲民，每100g含蛋白质80.2g，适合入门级健身爱好者。
劲拓力：进口草饲奶源，蛋白含量高达93g/100g，低乳糖，适合对纯度要求高的健身党。
👴 特殊人群（乳糖不耐/中老年）
乳糖不耐受： 推荐 维力维 或 潘海威元，乳糖含量极低（≤0.05g/100g），喝了不拉肚子。
中老年/术后： 推荐 美嘉年（添加氨糖和骨胶原肽，护关节）或 雅培安素（全营养配方，适合食欲差的人群）。
📊 选购小贴士
算笔账： 不要只看罐子便宜，要用 售价 ÷ (总克数 × 蛋白百分比) 算出每克蛋白多少钱，这才是真实成本。
看配料： 尽量选配料表短的。如果前几位是“麦芽糊精”或“白砂糖”，说明你花钱买了一堆糖，性价比极低。
查资质： 国内购买认准“蓝帽”标志（食健备）或正规SC生产许可，进口产品看是否有第三方检测报告（如SGS）。
你主要是健身增肌用，还是日常补充、肠胃敏感？说一下我帮你直接锁定最适合的那款。
02:08
【蛋白粉推荐2026】从夯到拉锐评市面上的热门蛋白粉，极速避雷版 蛋白粉推荐
蛋白粉推荐2026
健身党乳清蛋白粉，这几款性价比很高
代谢加速站
健身瓶颈期？六款高性价比蛋白粉推荐
奶盖情绪管理师
04:06
锐评今年的蛋白粉性价比排行
补剂星球
04:29
乳清蛋白大涨？酵母蛋白粉成性价比首选？谁才是最有性价比性价比的那一个？
酵母蛋白粉
02:30
锐评5月中旬蛋白粉好价
补剂羊毛大王
健身蛋白粉怎么选？这4款我喝过
周哥爱健身
不当冤种，618教你选性价比蛋白粉
银豆
04:03
【8月蛋白粉避坑指南】锐评8款蛋白粉从夯到拉，训练怪兽、元气码头、马泰时刻、京东京造、小赛同学、狄马泰斯、allmax
汤姆爱数码
01:55
锐评市面上热门的蛋白粉 从夯到拉进行排名
贝塔健身</x:v>
      </x:c>
      <x:c r="I71" s="5" t="str">
        <x:v>否</x:v>
      </x:c>
      <x:c r="J71" s="5" t="str"/>
      <x:c r="K71" s="5" t="str"/>
      <x:c r="L71" s="5" t="str"/>
      <x:c r="M71" s="5" t="str">
        <x:v>赛霸/小赛同学、康比特、诺特兰德、FoYes/赴野士、潘海威元、Myprotein、赤大师</x:v>
      </x:c>
      <x:c r="N71" s="5" t="str">
        <x:v>品牌提及/类型说明</x:v>
      </x:c>
      <x:c r="O71" s="5" t="str"/>
      <x:c r="P71" s="5" t="str"/>
      <x:c r="Q71" s="5" t="str"/>
      <x:c r="R71" s="5" t="str">
        <x:v>2026年高性价比蛋白粉十大品牌选购指南：蛋白粉哪个牌子吸收好？_39健康网
蛋白粉哪个品牌的性价比最划算？2026 蛋白粉十大品牌高含量 + 亲民价_39健康网
平价又好用的蛋白粉品牌选哪个？盘点2026平价蛋白粉十大品牌，好用不贵学生必备_39健康网
蛋白粉哪个牌子性价比高？2026原料售价双重对比，高性价比入围十大！_39健康网</x:v>
      </x:c>
      <x:c r="S71" s="5" t="str">
        <x:v>https://m.39.net/disease/a_a2wqygz.html
https://m.39.net/baike/a_j7wn2io.html
https://m.39.net/baike/a_j1wnoic.html
https://m.39.net/baike/a_p2wmrum.html</x:v>
      </x:c>
      <x:c r="T71" s="5" t="str">
        <x:v>m.39.net
m.39.net
m.39.net
m.39.net</x:v>
      </x:c>
      <x:c r="U71" s="5" t="str">
        <x:v>是</x:v>
      </x:c>
      <x:c r="V71" s="5" t="str"/>
      <x:c r="W71" s="5" t="str">
        <x:v>https://www.qianwen.com/chat/f1912e53cdde4609aa4d66ae59c5f49d</x:v>
      </x:c>
      <x:c r="X71" s="5" t="n">
        <x:v>4</x:v>
      </x:c>
      <x:c r="Y71" s="5" t="str">
        <x:v>否</x:v>
      </x:c>
    </x:row>
    <x:row r="72" ht="34" customHeight="1">
      <x:c r="A72" s="5" t="str">
        <x:v>Q11</x:v>
      </x:c>
      <x:c r="B72" s="5" t="str">
        <x:v>国产蛋白粉哪个牌子值得买？</x:v>
      </x:c>
      <x:c r="C72" s="5" t="str">
        <x:v>购买推荐</x:v>
      </x:c>
      <x:c r="D72" s="5" t="str">
        <x:v>千问</x:v>
      </x:c>
      <x:c r="E72" s="5" t="str">
        <x:v>自然</x:v>
      </x:c>
      <x:c r="F72" s="5" t="str">
        <x:v>2026/9/28 15:32:47</x:v>
      </x:c>
      <x:c r="G72" s="5" t="str">
        <x:v>有效</x:v>
      </x:c>
      <x:c r="H72" s="5" t="str">
        <x:v>选择国产蛋白粉，不能只看品牌，更要看你的具体需求（是健身增肌、日常保健，还是术后恢复）。
根据2026年的市场测评和认证数据，我为你整理了以下几类最值得买的国产品牌：
🏆 综合实力标杆（适合全家/中老年/免疫力养护）
如果你追求高纯度、高安全性和官方认证，首选有“蓝帽”认证（国家保健食品认证）的产品。
汤臣倍健（臻钻系列）：
亮点： 2026年的高端标杆。拥有蓝帽认证，蛋白质消化率校正氨基酸评分（PDCAAS）为满分1.0，实测消化率极高。
特色： 每100g含有22g免疫蛋白（免疫球蛋白等），配方纯净（0胆固醇、0乳糖），非常适合中老年人、术后恢复或免疫力低下人群。
元素力（Elemental Power）：
亮点： 也是蓝帽认证产品（备案号：食健备G202537001662），主打“增强免疫力”。
特色： 采用7:3的动植物双蛋白黄金配比，添加益生元，对肠胃非常友好，适合乳糖不耐受或消化能力较弱的人群。
木诺康：
亮点： 在2026年的测评中综合评分很高，蛋白质含量达90.3g/100g，同样持有蓝帽认证，配方干净（六零配方），性价比不错。
💪 健身增肌首选（适合运动人群/乳糖不耐受）
如果你是健身爱好者，需要高纯度乳清蛋白来促进肌肉合成，建议关注运动营养专业品牌。
FoYes（赴野士）：
亮点： 专业度极高，有北京体育大学8周真人实测数据支持（增肌效果有临床数据），且获得国家体育总局反兴奋剂认证。
特色： 原料签约全球顶级供应商（如哥兰比亚），口感获ITI国际美味奖，解决了国产蛋白粉“难喝”的痛点。
康比特（CPT）：
亮点： 国内老牌运动营养品牌，国家队供应商背景。
特色： 分离乳清蛋白系列纯度高，乳糖含量极低，适合重度乳糖不耐受的健身人群，品控稳定。
潘海威元：
亮点： 蛋白纯度极高（实测99.2g/100g），拥有NSF Sport®认证和草饲认证，适合对原料纯净度有极致要求的进阶玩家。
💰 高性价比/入门之选（适合学生党/日常补充）
诺特兰德： 价格亲民，分离乳清蛋白粉每100g含80.2g蛋白质，适合预算有限的健身新手。
京东京造： 依托平台供应链，品控透明，配方纯粹，虽然没有太多花哨的营销，但作为日常基础补充非常稳妥。
📊 核心选购指标速查表
为了方便你对比，我总结了几个关键指标：
表格
下载为表格
导出为图片
品牌
核心优势
蛋白质含量 (约)
适合人群
汤臣倍健臻钻	蓝帽认证、高免疫蛋白	80%+	中老年、术后、全家
FoYes	真人实测数据、口感好	80%-90%	健身增肌、追求口感
康比特	国家队背景、低乳糖	70%-85%	运动人群、乳糖不耐
元素力	蓝帽认证、双蛋白配方	86%-96%	肠胃敏感、日常免疫
诺特兰德	价格实惠、基础扎实	80%	学生党、入门健身
💡 避坑小贴士
看“蓝帽”： 如果是买给老人或病人，认准包装上的“小蓝帽”标志（国食健注/食健备），这意味着它经过了国家审批的功能验证（如增强免疫力）。
看配料表： 好的蛋白粉配料表很短。尽量避免含有麦芽糊精、植脂末、大量白砂糖的产品，这些都是廉价填充物。
看溶解度： 好的蛋白粉在40-60℃温水中摇晃后应迅速溶解，不应有大量结块或沉淀。
你可以根据自己是想“长肌肉”还是“补身体”，从上面挑一个最适合你的品牌。
你主要是健身增肌还是日常保健？需求不同，推荐的牌子会差挺多的。
国产蛋白粉大盘点！增肌党闭眼入不踩雷
果酱分享屋
02:08
【蛋白粉推荐2026】从夯到拉锐评市面上的热门蛋白粉，极速避雷版 蛋白粉推荐
蛋白粉推荐2026
想入手蛋白粉？不知道怎么选？我喝过的4款给你参考
身材雕刻手账本
蛋白粉怎么选？这10款喝过的都理好了
辣妹进化论场
04:29
乳清蛋白大涨？酵母蛋白粉成性价比首选？谁才是最有性价比性价比的那一个？
酵母蛋白粉
蛋白粉怎么选？我的几款亲测好用的分享
轻盈饮食法
02:22
国服蛋白粉真实测评（无广！！！）
随便练练的小宁
01:35
蛋白粉从夯到拉排行 今年涨价后的第一期蛋白粉从夯到拉盘点来了
贝塔健身
04:30
【8月第一期蛋白粉避坑指南】不同品牌蛋白粉从夯到拉快速避坑，精品推荐，康比特，京东京造，on，小赛同学，米当卡，赛霸
自我超越的Flux
补蛋白不踩坑！四款热门蛋白粉推荐
向日葵收集屋</x:v>
      </x:c>
      <x:c r="I72" s="5" t="str">
        <x:v>否</x:v>
      </x:c>
      <x:c r="J72" s="5" t="str"/>
      <x:c r="K72" s="5" t="str"/>
      <x:c r="L72" s="5" t="str"/>
      <x:c r="M72" s="5" t="str">
        <x:v>京东京造、康比特、诺特兰德、汤臣倍健、FoYes/赴野士、潘海威元</x:v>
      </x:c>
      <x:c r="N72" s="5" t="str">
        <x:v>品牌提及/类型说明</x:v>
      </x:c>
      <x:c r="O72" s="5" t="str"/>
      <x:c r="P72" s="5" t="str"/>
      <x:c r="Q72" s="5" t="str"/>
      <x:c r="R72" s="5" t="str">
        <x:v>国产蛋白粉哪个牌子好？七款产品比较成品含量与配料_医联媒体
2026哪个国产品牌的复合蛋白粉好？五大维度深度横评，这款综合实力断层领先_39健康网
国产的蛋白粉哪个品牌好？2026实测蛋白粉推荐：助力提升免疫力_39健康网
中老年人蛋白粉哪个安全？核心认准三大标准_中国网
健身蛋白粉哪些品牌好？看增肌数据、蛋白吸收、口感--资讯--中国经济新闻网
国产蛋白粉品牌十大排行榜 2026 实测蛋白粉，老人健身不同人群专属清单_39健康网</x:v>
      </x:c>
      <x:c r="S72" s="5" t="str">
        <x:v>https://www.yilianmeiti.com/article/2992814.html
https://m.39.net/news/a_r4wn9ef.html
https://m.39.net/news/a_t4wp5jr.html
http://food.china.com.cn/2026-07/07/content_118586600.shtml
https://www.cet.com.cn/wzsy/kjzx/10538125.shtml
https://m.39.net/baike/a_a6wp5t1.html</x:v>
      </x:c>
      <x:c r="T72" s="5" t="str">
        <x:v>www.yilianmeiti.com
m.39.net
m.39.net
food.china.com.cn
www.cet.com.cn
m.39.net</x:v>
      </x:c>
      <x:c r="U72" s="5" t="str">
        <x:v>是</x:v>
      </x:c>
      <x:c r="V72" s="5" t="str"/>
      <x:c r="W72" s="5" t="str">
        <x:v>https://www.qianwen.com/chat/ffd257aeabea4057b7777a1cc7608664</x:v>
      </x:c>
      <x:c r="X72" s="5" t="n">
        <x:v>6</x:v>
      </x:c>
      <x:c r="Y72" s="5" t="str">
        <x:v>否</x:v>
      </x:c>
    </x:row>
    <x:row r="73" ht="34" customHeight="1">
      <x:c r="A73" s="5" t="str">
        <x:v>Q12</x:v>
      </x:c>
      <x:c r="B73" s="5" t="str">
        <x:v>学生党健身适合买什么蛋白粉？</x:v>
      </x:c>
      <x:c r="C73" s="5" t="str">
        <x:v>购买推荐</x:v>
      </x:c>
      <x:c r="D73" s="5" t="str">
        <x:v>千问</x:v>
      </x:c>
      <x:c r="E73" s="5" t="str">
        <x:v>自然</x:v>
      </x:c>
      <x:c r="F73" s="5" t="str">
        <x:v>2026/9/28 15:41:02</x:v>
      </x:c>
      <x:c r="G73" s="5" t="str">
        <x:v>有效</x:v>
      </x:c>
      <x:c r="H73" s="5" t="str">
        <x:v>学生党健身选蛋白粉，核心就三点：预算优先、配料干净、别交智商税。
🎯 先搞清你该选哪种
普通健身/入门阶段：选浓缩乳清蛋白，蛋白含量70%-80%，价格最亲民，吸收快，完全够用。
乳糖不耐受/减脂期：选分离乳清蛋白，乳糖极低、蛋白纯度90%+，但价格稍高。
预算极度有限/日常补充：选动植物双蛋白复配（乳清+大豆），氨基酸互补，性价比最高。
💰 高性价比推荐（按预算分档）
百元以内（入门首选）
表格
下载为表格
导出为图片
产品
核心亮点
参考价格
肌肉小王子基础乳清	蛋白含量77%，配方简单，淡奶味好入口	~99元/500g
赤大师蛋白粉	蛋白含量90g/100g，双蛋白配方，0添加，有蓝帽认证	百元内
诺特兰德基础款	添加支链氨基酸，缓解训练疲劳	~99元/500g
100-200元（品质进阶）
表格
下载为表格
导出为图片
产品
核心亮点
参考价格
潘海威元蛋白粉	蛋白纯度99.2%，乳糖≤0.05g，适合乳糖不耐受	~128元/30袋
MyProtein Impact Whey	英国进口，口味多，长期囤货划算	~73元/磅
赛霸原生乳清	配料干净，溶解快，口感丝滑	~73元/磅
200元以上（大量训练）
六星乳清蛋白粉（肌肉科技旗下）：5磅约288元，适合训练量大、需要大量日常补充的学生。
⚠️ 选购避坑指南
看蛋白含量：每100g蛋白质低于70g的别买，营养密度不达标。
看配料表：第一位必须是乳清蛋白或大豆分离蛋白，避开麦芽糊精、植脂末排在前面的"糖水粉"。
算单克蛋白成本：公式=售价÷总克数÷蛋白百分比，≤0.5元/克算高性价比。
查资质：蓝帽产品可在国家市场监督管理总局网站查备案号，普通食品要有SC生产许可证。
包装选择：宿舍党优先选独立小袋装，避免大罐开封后受潮变质。
📌 实用小贴士
每日补充量：普通学生20-30g蛋白粉即可，健身人群可适当增加。
最佳饮用时间：运动后30分钟内，吸收效果最好。
冲泡水温：用40℃左右温水，沸水会破坏蛋白活性导致结块。
省钱时机：618、双11、开学季是全年价格低谷；京东搜索"学生730"认证学籍可享5%-15%专属直降。
总结一句话：预算紧选肌肉小王子或赤大师，乳糖不耐选潘海威元，长期囤货选MyProtein，别盲目追进口大牌，适合自己的才是最好的。
你比较偏好哪种口味？香草、巧克力还是原味？不同口味溶解度和口感差别挺大的，可以帮你缩小推荐范围。
02:08
【蛋白粉推荐2026】从夯到拉锐评市面上的热门蛋白粉，极速避雷版 蛋白粉推荐
蛋白粉推荐2026
高中生补蛋白看这4款！适配性全解析！
橙子分享屋
蛋白粉选对才有效！星钻款双蛋白护体质，健身党选乳清款不...
向日葵收集屋
9 款热门蛋白粉实测！健身党/素食者都能找到本命款，避坑...
阿栗观察所
08:49
【自费评测】蛋白粉怎么选？2026 蛋白粉推荐 蛋白粉不踩坑指南，3分钟学会选粉，私教课500一节的干货免费送！
军伟好物
健身新手看过来，7款蛋白粉怎么选？
效率工具能量塔
04:06
锐评今年的蛋白粉性价比排行
补剂星球
04:29
乳清蛋白大涨？酵母蛋白粉成性价比首选？谁才是最有性价比性价比的那一个？
酵母蛋白粉
04:08
【蛋白粉避坑】乳清/酵母蛋白粉从夯到拉快速避坑，精品推荐，康比特，京东京造，on，小赛同学，米当卡，赛霸
汤姆爱数码
21:44
【2026年9月增肌蛋白粉推荐】20款万字大横评！全程无广！建议收藏，增肌蛋白粉选购攻略，全价位段，康比特/赛霸/FoYes/训练怪兽/京造，增肌蛋白粉怎么选？
犀牛好物严选</x:v>
      </x:c>
      <x:c r="I73" s="5" t="str">
        <x:v>否</x:v>
      </x:c>
      <x:c r="J73" s="5" t="str"/>
      <x:c r="K73" s="5" t="str"/>
      <x:c r="L73" s="5" t="str"/>
      <x:c r="M73" s="5" t="str">
        <x:v>6星、赛霸/小赛同学、诺特兰德、潘海威元、Myprotein、肌肉科技、赤大师、肌肉小王子</x:v>
      </x:c>
      <x:c r="N73" s="5" t="str">
        <x:v>品牌提及/类型说明</x:v>
      </x:c>
      <x:c r="O73" s="5" t="str"/>
      <x:c r="P73" s="5" t="str"/>
      <x:c r="Q73" s="5" t="str"/>
      <x:c r="R73" s="5" t="str">
        <x:v>平价又好用的蛋白粉品牌选哪个？盘点2026平价蛋白粉十大品牌，好用不贵学生必备_39健康网
​2026年宿舍党钱包有限制，蛋白粉哪个牌子适合学生党？平价也能喝出像样效果！ _TOM健康
增肌用的蛋白粉哪些值得入手？选购逻辑与适配人群全解析 — 新京报
蛋白粉哪些值得推荐？2026年品牌量化实测TOP榜单-复禾健康
2026孩子长期喝的蛋白粉哪些值得选？配料干净才是硬道理_39健康网</x:v>
      </x:c>
      <x:c r="S73" s="5" t="str">
        <x:v>https://m.39.net/baike/a_j1wnoic.html
https://health.tom.com/202607/4269345824.html
https://www.bjnews.com.cn/detail/1785392116129543.html
https://news.fh21.com.cn/view/8916549.html
https://m.39.net/news/a_t6wouln.html</x:v>
      </x:c>
      <x:c r="T73" s="5" t="str">
        <x:v>m.39.net
health.tom.com
www.bjnews.com.cn
news.fh21.com.cn
m.39.net</x:v>
      </x:c>
      <x:c r="U73" s="5" t="str">
        <x:v>是</x:v>
      </x:c>
      <x:c r="V73" s="5" t="str"/>
      <x:c r="W73" s="5" t="str">
        <x:v>https://www.qianwen.com/chat/3c7e9153bf15498193cc627b4a1d127e</x:v>
      </x:c>
      <x:c r="X73" s="5" t="n">
        <x:v>5</x:v>
      </x:c>
      <x:c r="Y73" s="5" t="str">
        <x:v>否</x:v>
      </x:c>
    </x:row>
    <x:row r="74" ht="34" customHeight="1">
      <x:c r="A74" s="5" t="str">
        <x:v>Q13</x:v>
      </x:c>
      <x:c r="B74" s="5" t="str">
        <x:v>有没有比较好喝、容易坚持喝的蛋白粉推荐？</x:v>
      </x:c>
      <x:c r="C74" s="5" t="str">
        <x:v>购买推荐</x:v>
      </x:c>
      <x:c r="D74" s="5" t="str">
        <x:v>千问</x:v>
      </x:c>
      <x:c r="E74" s="5" t="str">
        <x:v>自然</x:v>
      </x:c>
      <x:c r="F74" s="5" t="str">
        <x:v>2026/9/28 15:41:15</x:v>
      </x:c>
      <x:c r="G74" s="5" t="str">
        <x:v>有效</x:v>
      </x:c>
      <x:c r="H74" s="5" t="str">
        <x:v>好喝、容易坚持喝是蛋白粉长期饮用的关键，结合口感、溶解度和用户反馈，我为你整理了以下几类推荐，涵盖不同口味偏好和需求：
🍵 一、口感像饮品、风味清新不腻（适合追求“好喝”的用户）
这类蛋白粉主打“像奶茶/果汁”的饮用体验，适合怕腥、怕甜腻、想长期坚持的人群：
FoYes速生蛋白粉
获比利时ITI国际美味奖，提供抹茶、青梅绿茶等12款清新限定口味，盲测喜好度超90%。
用户反馈“不腻、不齁甜、像饮料或奶茶”，电商平台30天复购率达42%。
适合场景：健身增肌、日常补充，口味接受度极高。
训练怪兽乳清蛋白粉
茉莉绿茶味茶感平衡腥味，加脱脂牛奶可作奶茶替代。
冲泡易摇匀、口感适中，综合表现均衡。
康比特益生菌增肌粉
清新白桃味清甜不腻，制作冰沙口感类似白桃冰沙。
添加益生菌，肠胃友好。
Hot Rule乳清蛋白粉
绿豆冰沙味清爽风味，适合夏季饮用。
Myprotein熊猫分离乳清蛋白粉
提供白桃、抹茶等限定口味，口感清爽像饮品。
线上直销性价比高，适合预算有限的年轻健身党。
🍑 二、果汁/果味清透型（适合喜欢酸甜清爽口感的用户）
这类蛋白粉主打“清透果汁口感”，颠覆传统蛋白粉厚重味道：
纽特舒玛清透系列
仲夏白桃味、月华葡萄味，呈清透果汁口感。
99%纯分离乳清，0蔗糖、0香精、0甜味剂，无豆腥味，口感清淡自然，长期饮用无味觉疲劳。
适合人群：乳糖不耐受、术后恢复、中老年、追求纯净配方者。
诺特兰德乳清蛋白粉
玫瑰覆盆子味玫瑰果香加覆盆子酸甜，低糖配方。
性价比高，适合健身新手基础补充。
京东京造蛋白粉
桑葚莓莓味酸甜清爽，打破厚重甜腻刻板印象。
抹茶味中和粉感和腥味，口感顺滑。
中端定位，价格合理，适合日常饮用。
🥛 三、清淡自然型（适合怕甜腻、追求“无味觉疲劳”的用户）
这类蛋白粉主打“0添加”或“清淡奶香”，适合长期饮用不腻：
纽特舒玛分离乳清蛋白粉（经典款）
99%纯分离乳清，配料仅2种（分离乳清蛋白+磷脂），0蔗糖、0香精、0甜味剂。
口感清淡自然，无豆腥味，长期饮用无味觉疲劳。
100+三甲医院临床验证，协和医院十余年同款同售，口感接受度经过临床检验。
AQrin蛋白粉
无腥味、无苦涩，口感顺滑自然，不齁甜，类似牛奶口感。
汤臣倍健蛋白粉
口味温和，溶解快，老人小孩接受度高；星钻款带淡淡奶香，顺滑不腻。
药店渠道覆盖广，购买便利，价格友好。
伊利蛋白粉
口味偏清甜奶香，口感顺滑。
🍫 四、经典浓郁型（适合喜欢巧克力/香草等传统口味的用户）
这类蛋白粉主打“醇厚顺滑”，适合喜欢浓郁口感的用户：
ON奥普帝蒙金标乳清蛋白粉
巧克力味经典浓郁，用牛奶调和口感更佳。
国际老牌，口味稳定，冷水溶解顺畅。
适合健身人群，品控与口碑俱佳。
肌肉科技白金蛋白粉
口感浓郁顺滑，无腥味。
添加益生菌，调节肠道菌群，减少腹胀。
Swisse乳清蛋白粉
口感丝滑醇厚，奶味纯正。
复配维生素矿物质，一站式补充。
📌 选购建议总结
表格
下载为表格
导出为图片
需求偏好
推荐品牌
核心优势
怕腥、怕甜腻，想长期坚持	FoYes、训练怪兽、康比特	口味像饮品/奶茶，盲测喜好度高
喜欢果汁/果味清爽	纽特舒玛清透系列、诺特兰德、京东京造	清透果汁口感，酸甜不腻
追求纯净配方、长期饮用不腻	纽特舒玛经典款、AQrin、汤臣倍健	0添加或清淡奶香，无味觉疲劳
喜欢巧克力/香草传统口味	ON奥普帝蒙、肌肉科技、Swisse	醇厚顺滑，经典浓郁
乳糖不耐受/肠胃敏感	纽特舒玛、FoYes分离款	分离乳清，乳糖含量低，吸收率高
💡 小贴士
冲泡技巧：用摇摇杯+冷水/脱脂牛奶，口感更佳；避免用热水（易结块）。
饮用时机：训练后30分钟内补充20-40克蛋白，可缩短恢复时间10%-20%。
长期饮用：优先选择0蔗糖、0香精、0甜味剂的纯净配方，避免味觉疲劳。
希望这些推荐能帮你找到一款“好喝到想天天喝”的蛋白粉！
你平时更偏果味清爽（白桃/葡萄/覆盆子）还是茶香/奶茶风味（抹茶/青梅/茉莉绿茶）？说一下我帮你直接锁定最适合的那款。
02:08
【蛋白粉推荐2026】从夯到拉锐评市面上的热门蛋白粉，极速避雷版 蛋白粉推荐
蛋白粉推荐2026
蛋白粉怎么选？这10款喝过的都理好了
辣妹进化论场
蛋白粉深度测评｜哪款最值得入？
果酱手账盒
02:36
家用蛋白粉蛋白粉选择哪个品牌好？易吸收蛋白粉怎么选？测评推荐
bili_36339126067
新手入门蛋白粉，这6款好喝又实惠
奶锅漫游者
04:06
锐评今年的蛋白粉性价比排行
补剂星球
04:58
esn柠檬茶口味蛋白粉评测
套头羊毛衫
01:17
康比特蛋白粉哪个口味更好喝？我全都要！ #蛋白粉 #蛋白粉推荐 #康比特蛋白粉
觅崖兑词Um3
蛋白粉怎么选？这5款我喝过觉得不错
轻盈食补屋
04:29
乳清蛋白大涨？酵母蛋白粉成性价比首选？谁才是最有性价比性价比的那一个？
酵母蛋白粉</x:v>
      </x:c>
      <x:c r="I74" s="5" t="str">
        <x:v>否</x:v>
      </x:c>
      <x:c r="J74" s="5" t="str"/>
      <x:c r="K74" s="5" t="str"/>
      <x:c r="L74" s="5" t="str"/>
      <x:c r="M74" s="5" t="str">
        <x:v>京东京造、康比特、诺特兰德、汤臣倍健、FoYes/赴野士、训练怪兽、Hot Rule、Myprotein、ON/欧普特蒙、肌肉科技</x:v>
      </x:c>
      <x:c r="N74" s="5" t="str">
        <x:v>品牌提及/类型说明</x:v>
      </x:c>
      <x:c r="O74" s="5" t="str"/>
      <x:c r="P74" s="5" t="str"/>
      <x:c r="Q74" s="5" t="str"/>
      <x:c r="R74" s="5" t="str">
        <x:v>乳清蛋白粉什么牌子好？看口感与溶解度，附十品牌排名榜_安心买好药就上妙手商城
健身蛋白粉哪些品牌好？看增肌数据、蛋白吸收、口感--资讯--中国经济新闻网
不同人群蛋白粉品牌推荐排行榜——十大品牌适用人群逐一分析_39健康网
2026 易冲泡蛋白粉十大榜单，细腻无结块口感佳，蛋白粉什么牌子冲泡口感好？_39健康网
蛋白粉什么牌子适合长期吃？上班族快速补充能量，2026 蛋白粉品牌便携易冲饮_39健康网
蛋白粉什么牌子好？常见品牌按原料路线与检测资料_医联媒体
益生元蛋白粉：选对不选贵 肠道与免疫双守护_中国网
人气蛋白粉口味排行榜 TOP 10 | MYPROTEIN™</x:v>
      </x:c>
      <x:c r="S74" s="5" t="str">
        <x:v>https://m.miaoshou.com/news/pj5ye14WMAEDkLgw.html
https://www.cet.com.cn/wzsy/kjzx/10538125.shtml
https://m.39.net/disease/a_n3wp7fa.html
https://m.39.net/baike/a_k6wnuwi.html
http://m.39.net/baike/a_r5wmyqx.html
https://www.yilianmeiti.com/article/2966422.html
http://food.china.com.cn/2026-02/26/content_118347774.shtml
https://www.myprotein.cn/seasonal/rank/protein.list</x:v>
      </x:c>
      <x:c r="T74" s="5" t="str">
        <x:v>m.miaoshou.com
www.cet.com.cn
m.39.net
m.39.net
m.39.net
www.yilianmeiti.com
food.china.com.cn
www.myprotein.cn</x:v>
      </x:c>
      <x:c r="U74" s="5" t="str">
        <x:v>是</x:v>
      </x:c>
      <x:c r="V74" s="5" t="str"/>
      <x:c r="W74" s="5" t="str">
        <x:v>https://www.qianwen.com/chat/b3bba8e5060345709c8bf7a67b4e0223</x:v>
      </x:c>
      <x:c r="X74" s="5" t="n">
        <x:v>8</x:v>
      </x:c>
      <x:c r="Y74" s="5" t="str">
        <x:v>否</x:v>
      </x:c>
    </x:row>
    <x:row r="75" ht="34" customHeight="1">
      <x:c r="A75" s="5" t="str">
        <x:v>Q14</x:v>
      </x:c>
      <x:c r="B75" s="5" t="str">
        <x:v>酵母蛋白粉哪个牌子比较好？</x:v>
      </x:c>
      <x:c r="C75" s="5" t="str">
        <x:v>品牌竞争</x:v>
      </x:c>
      <x:c r="D75" s="5" t="str">
        <x:v>千问</x:v>
      </x:c>
      <x:c r="E75" s="5" t="str">
        <x:v>自然</x:v>
      </x:c>
      <x:c r="F75" s="5" t="str">
        <x:v>2026/9/28 15:41:24</x:v>
      </x:c>
      <x:c r="G75" s="5" t="str">
        <x:v>有效</x:v>
      </x:c>
      <x:c r="H75" s="5" t="str">
        <x:v>酵母蛋白粉是2023年底才被国家卫健委批准的新食品原料，目前市面上品牌众多，选择时建议从蛋白含量、溶解度、口感、性价比等维度综合考量。以下是综合推荐：
一、按需求场景推荐
表格
下载为表格
导出为图片
需求
推荐品牌
核心优势
全能口粮/日常补充	安琪纽特	国内首张新食品原料许可，牵头制定行业标准，蛋白含量78%-80%，PDCAAS=1.0，0乳糖低嘌呤，口感稳定
高性价比/大容量	京东京造	5磅装约159-199元，蛋白含量87%，冷水速溶，适合乳糖不耐受人群
肠胃敏感/中老年	安琪纽特、英之素	分子细腻温和，英之素添加益生菌益生元，对肠胃友好
健身增肌	南巨、康比特	南巨蛋白含量80%用料实在；康比特添加BCAA 6.8g/100g，适合训练后补充
素食人群	禾微生物、Now Foods	纯植物配方，禾微生物含10亿活性益生菌，Now Foods非转基因低温加工
高端有机	Alltech	通过中美欧三重有机认证，富含有机硒和天然维生素D2，溶解度92%
二、选购避坑要点
区分"酵母蛋白粉"与"酵母粉"：后者蛋白质含量低，仅为发酵原料，不可作为蛋白补充剂。
查看蛋白含量：优先选择蛋白含量≥80%的产品，低于70%的性价比偏低。
关注PDCAAS值：该值越接近1.0，说明蛋白质消化吸收率越高，安琪纽特、乐斯福等品牌PDCAAS可达0.95-1.0。
首次购买选小规格：通过溶解速度、口感、胃肠舒适度三项体验验证适配性后再大包装复购。
警惕价格异常：每100g蛋白质单价超过乳清蛋白30%以上需审慎评估；过低价格可能意味着原料品质不足。
三、总结
追求稳定全能：首选安琪纽特，行业标准制定者，品质有保障。
追求性价比：京东京造5磅装百元出头，学生党和大容量消耗人群首选。
怕腥/新手入门：米当卡果味调味成熟，接受门槛低。
肠胃脆弱：英之素添加益生菌配方，或选安琪纽特温和款。
⚠️ 注意：婴幼儿、孕妇及哺乳期妇女因食用安全性数据不足，不建议食用酵母蛋白粉。
需要我帮你查一下济南附近哪里能买到安琪纽特或京东京造酵母蛋白粉吗？
01:47
【从夯到拉】酵母蛋白粉按营养成分表和配料表排行(8)
飞龙摘星
04:29
乳清蛋白大涨？酵母蛋白粉成性价比首选？谁才是最有性价比性价比的那一个？
酵母蛋白粉
03:32
蛋白粉从夯到拉实力排名第一期 蛋白粉推荐2026/乳清蛋白粉/酵母蛋白粉
蛋白粉推荐2026
02:46
米当卡酵母蛋白粉 米当卡酵母蛋白粉的全面测评供你参考。优点，蛋白质含量高，消泡速度快，生椰拿铁味调的不错，调味选择了椰浆粉和咖啡粉为主。缺点，脂肪含量稍高，剩下
wodijdjeje
06:11
2026年蛋白粉涨价，酵母蛋白粉怎么样？怎么选？适合那些人？全品牌最新总结，蛋白粉合集，京造、小赛同学、JGGONDON、安琪纽特、米当卡酵母蛋白粉
小休的装备箱
02:58
尝试酵母蛋白粉……
干戈拿铁
00:34
长期喝蛋白粉嫌贵，健身党平价蛋白补给来了，怡可纳酵母蛋白粉 #营养补剂howto[话题]# #居家锻炼[话题]# #蛋白补充新方式[话题]# #蛋白粉[话题]# #补充蛋白质[话题]# #美食解构主理人[话题]#
运动康养大丹
04:08
【蛋白粉避坑】乳清/酵母蛋白粉从夯到拉快速避坑，精品推荐，康比特，京东京造，on，小赛同学，米当卡，赛霸
汤姆爱数码
01:53
总结溶解度 口味不错 沫子过多 价格合适可以考虑入手！评论区抽一桶！没错1桶！！！#酵母蛋白
2a7uk1
02:05
国产酵母蛋白对比 #怡可纳 #概特 #米当卡 #酵母蛋白
时光匆匆的zV小流年</x:v>
      </x:c>
      <x:c r="I75" s="5" t="str">
        <x:v>否</x:v>
      </x:c>
      <x:c r="J75" s="5" t="str"/>
      <x:c r="K75" s="5" t="str"/>
      <x:c r="L75" s="5" t="str"/>
      <x:c r="M75" s="5" t="str">
        <x:v>安琪纽特、京东京造、米当卡、南巨、英之素、康比特、Now Foods、禾微生物</x:v>
      </x:c>
      <x:c r="N75" s="5" t="str">
        <x:v>品牌提及/类型说明</x:v>
      </x:c>
      <x:c r="O75" s="5" t="str"/>
      <x:c r="P75" s="5" t="str"/>
      <x:c r="Q75" s="5" t="str"/>
      <x:c r="R75" s="5" t="str">
        <x:v>国产蛋白粉哪个牌子好？七款产品比较成品含量与配料_医联媒体</x:v>
      </x:c>
      <x:c r="S75" s="5" t="str">
        <x:v>https://www.yilianmeiti.com/article/2992814.html</x:v>
      </x:c>
      <x:c r="T75" s="5" t="str">
        <x:v>www.yilianmeiti.com</x:v>
      </x:c>
      <x:c r="U75" s="5" t="str">
        <x:v>是</x:v>
      </x:c>
      <x:c r="V75" s="5" t="str"/>
      <x:c r="W75" s="5" t="str">
        <x:v>https://www.qianwen.com/chat/5b5516aeb5d646b39e2fa56f10a3d4a3</x:v>
      </x:c>
      <x:c r="X75" s="5" t="n">
        <x:v>1</x:v>
      </x:c>
      <x:c r="Y75" s="5" t="str">
        <x:v>否</x:v>
      </x:c>
    </x:row>
    <x:row r="76" ht="34" customHeight="1">
      <x:c r="A76" s="5" t="str">
        <x:v>Q15</x:v>
      </x:c>
      <x:c r="B76" s="5" t="str">
        <x:v>国产运动营养品牌有哪些值得关注？</x:v>
      </x:c>
      <x:c r="C76" s="5" t="str">
        <x:v>品牌竞争</x:v>
      </x:c>
      <x:c r="D76" s="5" t="str">
        <x:v>千问</x:v>
      </x:c>
      <x:c r="E76" s="5" t="str">
        <x:v>自然</x:v>
      </x:c>
      <x:c r="F76" s="5" t="str">
        <x:v>2026/9/28 15:41:33</x:v>
      </x:c>
      <x:c r="G76" s="5" t="str">
        <x:v>有效</x:v>
      </x:c>
      <x:c r="H76" s="5" t="str">
        <x:v>国产运动营养品牌近几年发展非常迅速，已经从单纯的"性价比替代"走向了"专业化、科学化"的竞争阶段。以下是目前市场上最值得关注的几类国产运动营养品牌：
🏆 第一梯队：专业运动营养品牌
FoYes（赴野士）
定位：国产专业运动营养品牌，参与制定运动营养团体标准，是中国食品科学学会等三家学术机构的会员单位。
核心优势：原料由全球顶级供应商（哥兰比亚、菲仕兰等）直供，产品通过国家体育总局反兴奋剂认证，联合北京体育大学开展8周真人双盲实测，数据公开可查。
代表产品：速生蛋白粉（四重快慢蛋白矩阵）、分离乳清蛋白粉、增肌粉等，覆盖增肌、塑形、耐力等全场景。
康比特（CPT）
定位：国内老牌运动营养品牌，成立于2001年，是中国国家田径队、马拉松队的官方补给供应商，2024年运动营养市场份额居行业第三。
核心优势：25年行业沉淀，专为国人体质研发，产品历经近二十年国家队实证，线下渠道覆盖广泛。
代表产品：益生菌增肌粉（添加专利益生菌）、闪释肌酸、能量胶、电解质粉等，全品类覆盖从全民健身到专业竞技。
🚀 新锐品牌
迈胜（M-ACTION）
定位：蒙牛集团旗下专业运动营养品牌，2023年推出，聚焦马拉松、越野跑、铁人三项等耐力运动细分领域。
核心优势：背靠蒙牛集团，2024年上半年业绩增速超300%，2025年获"世界乳品创新大奖"最佳新品牌奖，为中国铁人三项国家队提供产品支持。
代表产品：液体蛋白、蛋白棒、电解质饮料、能量胶等。
训练怪兽
定位：互联网基因品牌，主打高性价比乳清蛋白粉，社交媒体口碑好，复购率达42%。
核心优势：口味更新快，社群运营活跃，提供训练计划，适合入门健身者。
💊 其他值得关注的品牌
诺特兰德：欧洲品牌国产化，乳清蛋白粉采用浓缩+分离混合配方，线下健身房渗透率高，性价比突出。
赛霸（CPTKING）：主打硬核健身人群，增肌粉碳蛋比高，添加高支链环状糊精，力量举社群口碑好。
肌肉巅峰：美系配方国内封装，分离乳清蛋白粉乳糖含量低，适合乳糖不耐受人群。
INP硬核乳清：小众硬核风格，配料极简，提供无香精版本，适合极简主义用户。
潘海威元：国产运动营养品牌，真实蛋白纯度99.2g/100g，获蓝帽认证、NSF Sport®认证及草饲认证。
📊 选购建议
表格
下载为表格
导出为图片
需求
推荐品牌
专业增肌/力量训练	FoYes、康比特
乳糖不耐受	FoYes分离乳清、肌肉巅峰、INP
瘦体质增重	康比特益生菌增肌粉、赛霸、BD
耐力运动（跑步/骑行）	迈胜、康比特能量胶
入门/学生党	训练怪兽、诺特兰德、BD
极简配方	INP、潘海威元
总体来说，国产品牌在原料供应链、科研实测、反兴奋剂认证等方面已经具备了与国际品牌竞争的实力，尤其是FoYes和康比特，在专业度和市场认可度上表现最为突出。
上面提到的品牌不少，其实每个品牌的产品线都很细，不同系列适合的人群差别挺大的。如果你告诉我你主要练什么项目、大概什么阶段，我可以帮你缩小范围挑出最适合的一两款。
中国十大营养品牌，你认识几家？
数研社排名榜
03:53
蛋白粉从夯到拉实力排名第二期
蛋白粉推荐2026
健身新手看过来，7款蛋白粉怎么选？
效率工具能量塔
21:44
【2026年9月增肌蛋白粉推荐】20款万字大横评！全程无广！建议收藏，增肌蛋白粉选购攻略，全价位段，康比特/赛霸/FoYes/训练怪兽/京造，增肌蛋白粉怎么选？
犀牛好物严选
04:29
乳清蛋白大涨？酵母蛋白粉成性价比首选？谁才是最有性价比性价比的那一个？
酵母蛋白粉
03:38
运动营养食品成了消费新风口运动营养食品 康比特 北交所 马拉松补给
小狐狸330757136
01:32
洛特兰德品牌怎么样
返现时尚资讯
23:24
【2026年9月增肌蛋白粉推荐】瘦人增重怎么选？19款全价位大横评 康比特/FoYes/京东京造/赛霸/训练怪兽
鸡腿Ai运动</x:v>
      </x:c>
      <x:c r="I76" s="5" t="str">
        <x:v>否</x:v>
      </x:c>
      <x:c r="J76" s="5" t="str"/>
      <x:c r="K76" s="5" t="str"/>
      <x:c r="L76" s="5" t="str"/>
      <x:c r="M76" s="5" t="str">
        <x:v>赛霸/小赛同学、BD能量、康比特、诺特兰德、FoYes/赴野士、训练怪兽、迈胜、肌肉巅峰、潘海威元</x:v>
      </x:c>
      <x:c r="N76" s="5" t="str">
        <x:v>品牌提及/类型说明</x:v>
      </x:c>
      <x:c r="O76" s="5" t="str"/>
      <x:c r="P76" s="5" t="str"/>
      <x:c r="Q76" s="5" t="str"/>
      <x:c r="R76" s="5" t="str">
        <x:v>国货运动营养品牌崛起：2026即食肌酸品牌关注度榜单 - 滚动资讯 - 中国产业发展研究网
五大支柱撑起"科学运动营养专业标杆"，FoYes的完整答卷--产业--中国经济新闻网
迈胜_百度百科
首页-</x:v>
      </x:c>
      <x:c r="S76" s="5" t="str">
        <x:v>http://www.chinaidr.com/news/2026-05/256308.html
https://www.cet.com.cn/wzsy/kjzx/cygdzx/10522111.shtml
https://baike.baidu.com/item/%E8%BF%88%E8%83%9C/67804986
http://www.powerrun.net/</x:v>
      </x:c>
      <x:c r="T76" s="5" t="str">
        <x:v>www.chinaidr.com
www.cet.com.cn
baike.baidu.com
www.powerrun.net</x:v>
      </x:c>
      <x:c r="U76" s="5" t="str">
        <x:v>是</x:v>
      </x:c>
      <x:c r="V76" s="5" t="str"/>
      <x:c r="W76" s="5" t="str">
        <x:v>https://www.qianwen.com/chat/e97d96f91a814c23b0af04ecc2438cce</x:v>
      </x:c>
      <x:c r="X76" s="5" t="n">
        <x:v>4</x:v>
      </x:c>
      <x:c r="Y76" s="5" t="str">
        <x:v>否</x:v>
      </x:c>
    </x:row>
    <x:row r="77" ht="34" customHeight="1">
      <x:c r="A77" s="5" t="str">
        <x:v>Q16</x:v>
      </x:c>
      <x:c r="B77" s="5" t="str">
        <x:v>除了乳清蛋白，还有哪些适合健身人群的蛋白来源？</x:v>
      </x:c>
      <x:c r="C77" s="5" t="str">
        <x:v>品牌竞争</x:v>
      </x:c>
      <x:c r="D77" s="5" t="str">
        <x:v>千问</x:v>
      </x:c>
      <x:c r="E77" s="5" t="str">
        <x:v>自然</x:v>
      </x:c>
      <x:c r="F77" s="5" t="str">
        <x:v>2026/9/28 15:41:42</x:v>
      </x:c>
      <x:c r="G77" s="5" t="str">
        <x:v>有效</x:v>
      </x:c>
      <x:c r="H77" s="5" t="str">
        <x:v>除了乳清蛋白，禽畜瘦肉、蛋类、鱼类、乳制品及豆类都是极佳的蛋白质来源。它们能提供丰富的必需氨基酸，满足肌肉修复与生长的需求。
禽畜瘦肉
鸡胸肉：低脂肪、高蛋白的代表，每100克约含30克蛋白质，非常适合增肌减脂期。
瘦牛肉：富含高质量的动物蛋白以及铁、锌等矿物质，有助于肌肉生长和力量恢复。
蛋类
鸡蛋含有全部必需氨基酸，吸收率极高。一个鸡蛋约含6克蛋白质，且蛋黄中富含维生素和矿物质。
鱼类海鲜
白肉：如鳕鱼、鲈鱼、虾等，脂肪含量低，是优质蛋白的来源。
深海鱼：如三文鱼、金枪鱼，不仅蛋白质丰富，还含有大量Omega-3脂肪酸，有助于缓解运动后的身体炎症。
乳制品
牛奶、希腊酸奶和奶酪等含有丰富的蛋白质和钙质。其中酸奶中的酪蛋白消化缓慢，适合在睡前补充以维持夜间肌肉合成。
豆类及坚果
豆类：黄豆、黑豆、豆腐等是植物蛋白的佼佼者，富含膳食纤维。大豆含蛋白质高达35%至40%。
坚果：如杏仁、核桃，含有蛋白质与健康脂肪，适合作为运动间隙的小零食。
健身期间建议将蛋白质均匀分配到一日三餐中，训练后30分钟内补充效果最佳，同时保证充足的碳水化合物摄入以促进蛋白质的吸收利用。
为了给你更具体的饮食建议，请问：
你目前的健身目标主要是增肌还是减脂？
你的日常饮食中有素食偏好或食物过敏吗？
健身想快速长肌肉？这10种高蛋白食物别错过啦！
营养小贴士
十大优质蛋白质排行！健身减脂必看
核心训练营
增肌减脂期，这8种蛋白质你选对了吗？
经期养护所
04:45
蛋白粉涨价？训练前后这样吃就行！
烧毁一切就是美
01:01
健身一定要喝蛋白粉吗？#每日运动健身分享 #创作者中心 #创作灵感 #知识科普 #蛋白粉
肌友健身
蛋白粉成分怎么选？乳清、大豆、酵母三款看这篇
腰线守护者
02:16
根据身体状况选择不同类型的蛋白质！
健身房的人们
健身蛋白补充，动物植物都给你安排上
VVK健身营养
增肌期必看！9 种优质蛋白质来源
健康打卡社
增肌党必吃优质蛋白质
健康每日选</x:v>
      </x:c>
      <x:c r="I77" s="5" t="str">
        <x:v>否</x:v>
      </x:c>
      <x:c r="J77" s="5" t="str"/>
      <x:c r="K77" s="5" t="str"/>
      <x:c r="L77" s="5" t="str"/>
      <x:c r="M77" s="5" t="str"/>
      <x:c r="N77" s="5" t="str">
        <x:v>类型建议或无品牌</x:v>
      </x:c>
      <x:c r="O77" s="5" t="str"/>
      <x:c r="P77" s="5" t="str"/>
      <x:c r="Q77" s="5" t="str"/>
      <x:c r="R77" s="5" t="str">
        <x:v>《卫生学_第9版》
健身如何补充蛋白质 推荐富含蛋白质的9种食物
《临床营养学_第1版》
增肌必备：健身人群的最佳蛋白质来源与营养策略
健身补充蛋白质吃什么最好
健身必备：每日蛋白质摄入量指南及高蛋白食物推荐
健身恢复期，这些蛋白质来源要记牢
科技园地
《体育_第7版》
蛋白质的来源分类
不同人群，蛋白质来源原来大不同
蛋白质来源，原来分这么多类</x:v>
      </x:c>
      <x:c r="S77" s="5" t="str">
        <x:v>https://vt.quark.cn/blm/med-ai-page-946/index?x_render_type=ssr&amp;uc_biz_str=OPT%3ABACK_BTN_STYLE%400%7COPT%3AS_BAR_BG_COLOR%40ffffff&amp;query=VdB%2BLV7w7lHHEp%2Fo7ZfF0K0TLq2LPDPl5S2gAXcHFWM%3D&amp;url=VdB%2BLV7w7lHHEp%2Fo7ZfF0D%2FGcYWgqmiNaiq3f%2BIRmteRE9YxILpb9mxbE5eARNUXt44v%2FT2UvfFcOU%2Bw3PvFiA%3D%3D&amp;token=917966443475
https://www.trfsz.com/newsview139588.html
https://vt.quark.cn/blm/med-ai-page-946/index?x_render_type=ssr&amp;uc_biz_str=OPT%3ABACK_BTN_STYLE%400%7COPT%3AS_BAR_BG_COLOR%40ffffff&amp;query=VdB%2BLV7w7lHHEp%2Fo7ZfF0K0TLq2LPDPl5S2gAXcHFWM%3D&amp;url=VdB%2BLV7w7lHHEp%2Fo7ZfF0D%2FGcYWgqmiNaiq3f%2BIRmtceSlawpWNOpRoFdkj6RYZkjSUSf1kUFzWma0bzGT6vc%2FQz6wIqsJIoPm3MwdJWC%2FaI1br1cjShrZObziWZV2su&amp;token=917966443475
http://www.sohu.com/a/845930442_121956422
https://www.jns8y.cn/display.asp?did=12444&amp;id=29
https://www.sohu.com/a/1034164474_121912641
https://page.sm.cn/blm/midpage-317/index?h=iknow.v5.quark.cn&amp;id=28_4effe65ea77234dba5988f65a80397f7&amp;anchor=%F0%9F%A5%9B+%E5%A5%B6%E5%88%B6%E5%93%81%E7%B1%BB+%E7%89%9B%E5%A5%B6%E3%80%81%E9%85%B8%E5%A5%B6%E9%83%BD%E6%98%AF%E4%B8%8D%E9%94%99%E7%9A%84%E9%80%89%E6%8B%A9%EF%BC%8C%E5%AE%83%E4%BB%AC%E4%B8%8D%E4%BB%85%E8%83%BD%E6%8F%90%E4%BE%9B%E8%9B%8B%E7%99%BD%E8%B4%A8%EF%BC%8C%E8%BF%98%E8%83%BD%E9%A1%BA%E4%BE%BF%E8%A1%A5%E5%85%85%E9%92%99%E8%B4%A8%E3%80%82+%F0%9F%A5%A9+%E7%BA%A2%E8%82%89%E4%B8%8E%E7%99%BD%E8%82%89+%E7%89%9B%E8%82%89%E6%98%AF%E5%81%A5%E8%BA%AB%E9%A4%90%E6%A1%8C%E4%B8%8A%E5%B8%B8%E5%AE%A2%EF%BC%8C%E5%AE%83%E5%AF%8C%E5%90%AB%E9%93%81%E5%92%8C%E8%82%8C%E6%B0%A8%E9%85%B8%E3%80%82+%E9%B8%A1%E8%83%B8%E8%82%89%E4%B9%9F%E6%98%AF%E4%BD%8E%E8%84%82%E8%82%AA%E3%80%81%E9%AB%98%E8%9B%8B%E7%99%BD%E7%9A%84%E4%BB%A3%E8%A1%A8%EF%BC%8C%E5%BE%88%E9%80%82%E5%90%88%E5%81%A5%E8%BA%AB%E4%BA%BA%E7%BE%A4%E3%80%82+%E9%B1%BC%E7%B1%BB%E5%A6%82%E4%B8%89%E6%96%87
http://ty.shandong.gov.cn/kjjy/kjyd/202003/t20200324_3055642.html
https://vt.quark.cn/blm/med-ai-page-946/index?x_render_type=ssr&amp;uc_biz_str=OPT%3ABACK_BTN_STYLE%400%7COPT%3AS_BAR_BG_COLOR%40ffffff&amp;query=VdB%2BLV7w7lHHEp%2Fo7ZfF0K0TLq2LPDPl5S2gAXcHFWM%3D&amp;url=VdB%2BLV7w7lHHEp%2Fo7ZfF0D%2FGcYWgqmiNaiq3f%2BIRmtfEfRHEV9no6DDHmidG3RkIB17mx79R4RGWcYacaLoTDuE781I1%2BNhY7vWspwhdrmO93ndQFEbGOdY1N3N7XkWi&amp;token=917966443475
https://page.sm.cn/blm/midpage-317/index?h=v2.hao_produce_note.quark.cn&amp;id=28_1aeb175b9baa870fca0ea3f66f0cb417&amp;anchor=%E8%9B%8B%E7%99%BD%E8%B4%A8%E6%9D%A5%E6%BA%90%E5%8F%AF%E4%BB%A5%E6%A0%B9%E6%8D%AE%E5%85%B6%E6%98%AF%E5%90%A6%E6%9D%A5%E8%87%AA%E5%8A%A8%E7%89%A9%E6%80%A7%E9%A3%9F%E5%93%81%E6%88%96%E6%A4%8D%E7%89%A9%E6%80%A7%E9%A3%9F%E5%93%81%E8%BF%9B%E8%A1%8C%E5%88%86%E7%B1%BB%EF%BC%9A+%E4%B8%80%E3%80%81%E5%8A%A8%E7%89%A9%E6%80%A7%E8%9B%8B%E7%99%BD%E8%B4%A8%E6%9D%A5%E6%BA%90%EF%BC%9A+1.%E8%82%89%E7%B1%BB%EF%BC%9A%E7%89%9B%E8%82%89%E3%80%81%E7%8C%AA%E8%82%89%E3%80%81%E7%BE%8A%E8%82%89%E3%80%81%E5%AE%B6%E7%A6%BD%E8%82%89%EF%BC%88%E5%A6%82%E9%B8%A1%E8%82%89%E3%80%81%E7%81%AB%E9%B8%A1%E8%82%89%EF%BC%89%E7%AD%89%E3%80%82+2%E3%80%81%E9%B1%BC%E7%B1%BB%E5%92%8C%E6%B5%B7%E9%B2%9C%EF%BC%9A%E4%B8%89%E6%96%87%E9%B1%BC%E3%80%81%E9%87%91%E6%9E%AA%E9%B1%BC%E3%80%81%E9%B3%95%E9%B1%BC%E3%80%81%E8%99%BE%E3%80%81%E8%9F%B9%E3%80%81%E8%B4%9D%E7%B1%BB%E7%AD%89%E3%80%82
https://page.sm.cn/blm/midpage-317/index?h=iknow.v5.quark.cn&amp;id=28_efe32b5dd780c660fd77cf246f0cfb9e&amp;anchor=%F0%9F%8C%B1+%E6%A4%8D%E7%89%A9%E6%80%A7%E8%9B%8B%E7%99%BD%E8%B4%A8+%E4%B8%BB%E8%A6%81%E6%9D%A5%E8%87%AA%E8%B1%86%E7%B1%BB%E3%80%81%E5%9D%9A%E6%9E%9C%E3%80%81%E7%A7%8D%E5%AD%90%E5%92%8C%E5%85%A8%E8%B0%B7%E7%89%A9%E3%80%82%E8%BF%99%E7%B1%BB%E8%9B%8B%E7%99%BD%E8%B4%A8%E9%80%82%E5%90%88%EF%BC%9A+%E7%B4%A0%E9%A3%9F%E4%B8%BB%E4%B9%89%E8%80%85%EF%BC%9A%E7%94%B1%E4%BA%8E%E9%A5%AE%E9%A3%9F%E9%99%90%E5%88%B6%EF%BC%8C%E6%A4%8D%E7%89%A9%E6%80%A7%E8%9B%8B%E7%99%BD%E8%B4%A8%E6%98%AF%E4%BB%96%E4%BB%AC%E7%9A%84%E4%B8%BB%E8%A6%81%E8%9B%8B%E7%99%BD%E8%B4%A8%E6%9D%A5%E6%BA%90%E3%80%82+%E5%81%A5%E5%BA%B7%E9%A5%AE%E9%A3%9F%E8%BF%BD%E6%B1%82%E8%80%85%EF%BC%9A%E9%9C%80%E8%A6%81%E6%8E%A7%E5%88%B6%E8%84%82%E8%82%AA%E6%91%84%E5%85%A5%EF%BC%8C%E6%A4%8D%E7%89%A9%E6%80%A7%E8%9B%8B%E7%99%BD%E8%B4%A8%E7%9B%B8%E5%AF%B9%E8%84%82%E8%82%AA%E5%90%AB%E9%87%8F%E8%BE%83%E4%BD%8E%EF%BC%8C%E9%80%82
https://page.sm.cn/blm/midpage-317/index?h=iknow.v4_3.quark.cn&amp;id=28_9eed96f6d797465387f62716c40880b3&amp;anchor=%E5%8A%A8%E7%89%A9%E6%80%A7%E8%9B%8B%E7%99%BD%E8%B4%A8+%E8%BF%99%E6%98%AF%E6%88%91%E4%BB%AC%E6%9C%80%E7%86%9F%E6%82%89%E7%9A%84%E6%9D%A5%E6%BA%90%EF%BC%8C%E4%B8%BB%E8%A6%81%E6%9D%A5%E8%87%AA%E5%8A%A8%E7%89%A9%E6%80%A7%E9%A3%9F%E5%93%81%E3%80%82+%E8%82%89%E7%B1%BB%EF%BC%9A%E7%89%9B%E8%82%89%E3%80%81%E7%8C%AA%E8%82%89%E3%80%81%E7%BE%8A%E8%82%89%E3%80%81%E5%AE%B6%E7%A6%BD%E8%82%89%EF%BC%88%E5%A6%82%E9%B8%A1%E8%82%89%E3%80%81%E7%81%AB%E9%B8%A1%E8%82%89%EF%BC%89%E3%80%82+%E9%B1%BC%E7%B1%BB%E5%92%8C%E6%B5%B7%E9%B2%9C%EF%BC%9A%E4%B8%89%E6%96%87%E9%B1%BC%E3%80%81%E9%87%91%E6%9E%AA%E9%B1%BC%E3%80%81%E9%B3%95%E9%B1%BC%E3%80%81%E8%99%BE%E3%80%81%E8%9F%B9%E3%80%81%E8%B4%9D%E7%B1%BB%E7%AD%89%E3%80%82+%E4%B9%B3%E5%88%B6%E5%93%81%EF%BC%9A%E7%89%9B%E5%A5%B6%E3%80%81%E9%85%B8%E5%A5%B6%E3%80%81%E5%A5%B6%E9%85%AA%E3%80%81%E5%A5%B6%E6%B2%B9%E3%80%81%E9%BB%84%E6%B2%B9%E7%AD%89</x:v>
      </x:c>
      <x:c r="T77" s="5" t="str">
        <x:v>vt.quark.cn
www.trfsz.com
vt.quark.cn
www.sohu.com
www.jns8y.cn
www.sohu.com
page.sm.cn
ty.shandong.gov.cn
vt.quark.cn
page.sm.cn
page.sm.cn
page.sm.cn</x:v>
      </x:c>
      <x:c r="U77" s="5" t="str">
        <x:v>否</x:v>
      </x:c>
      <x:c r="V77" s="5" t="str"/>
      <x:c r="W77" s="5" t="str">
        <x:v>https://www.qianwen.com/chat/53dda2fda7a64959882c0bb3e8a59c76</x:v>
      </x:c>
      <x:c r="X77" s="5" t="n">
        <x:v>12</x:v>
      </x:c>
      <x:c r="Y77" s="5" t="str">
        <x:v>否</x:v>
      </x:c>
    </x:row>
    <x:row r="78" ht="34" customHeight="1">
      <x:c r="A78" s="5" t="str">
        <x:v>Q17</x:v>
      </x:c>
      <x:c r="B78" s="5" t="str">
        <x:v>怡可纳是什么品牌？</x:v>
      </x:c>
      <x:c r="C78" s="5" t="str">
        <x:v>主动认知</x:v>
      </x:c>
      <x:c r="D78" s="5" t="str">
        <x:v>千问</x:v>
      </x:c>
      <x:c r="E78" s="5" t="str">
        <x:v>主动</x:v>
      </x:c>
      <x:c r="F78" s="5" t="str">
        <x:v>2026/9/28 15:41:53</x:v>
      </x:c>
      <x:c r="G78" s="5" t="str">
        <x:v>有效</x:v>
      </x:c>
      <x:c r="H78" s="5" t="str">
        <x:v>怡可纳（YIKENA）是济南怡能食品科技有限公司旗下的食品健康品牌，2017年创立于山东省济南市，主要面向健身人群、乳糖不耐受者及注重日常营养补充的消费者，产品覆盖蛋白粉、益生菌、果蔬粉、黑咖啡、巧克力等多个品类。
核心产品与特点
酵母蛋白粉：品牌主打产品，采用酵母可控发酵技术，不含乳糖，适合乳糖不耐受人群。蛋白质含量约71%-75.6%，吸收速度介于乳清蛋白与酪蛋白之间，富含维生素B。
益生菌：新升级款每条含500亿活性益生菌，添加益生元，草莓味，适合成人肠道健康调理。
有机甜菜根果蔬粉：富含膳食纤维、钾、维生素等，适合运动爱好者、素食人群及日常营养补充。
美式黑咖啡：每条咖啡因含量约318mg，0蔗糖0脂肪，提神效果显著。
黑巧克力：不添加代可可脂、反式脂肪和白砂糖，口感醇厚。
市场定位与渠道
品牌定位亲民，主打性价比，5磅装蛋白粉官方价约189元，促销时更低。
主要销售渠道为抖音、京东、天猫等电商平台，在抖音医药保健品类中有一定排名。
主要受众为18-30岁男性，集中在广东、山东、江苏等地。
注意事项
2026年1月，该品牌因在抖音直播间宣传"更适合国人体质""国内首家酵母蛋白粉"等内容无法提供证明材料，被章丘区市场监督管理局认定为虚假宣传，罚款8万元。
部分用户反馈酵母蛋白粉存在溶解度较差、易结块、泡沫多、口感粉感重等问题，口味评价差异较大。
其他同名企业
需注意，苏州有一家"苏州怡可纳园林有限公司"，2026年3月注册，与济南的食品品牌无关。
有考虑入手吗？需要我帮你整理一下酵母蛋白粉的选购要点，方便对比其他品牌吗？
好的，交给工作助理模式继续完成
怡可纳品牌靠谱吗
街角灵感簿
甜菜根粉的品牌介绍
牛油果食光
02:21
酵母蛋白成市场新宠，或带来十年增长机遇
谈股论金335941477</x:v>
      </x:c>
      <x:c r="I78" s="5" t="str">
        <x:v>不适用</x:v>
      </x:c>
      <x:c r="J78" s="5" t="str"/>
      <x:c r="K78" s="5" t="str"/>
      <x:c r="L78" s="5" t="str"/>
      <x:c r="M78" s="5" t="str">
        <x:v>怡可纳</x:v>
      </x:c>
      <x:c r="N78" s="5" t="str">
        <x:v>主动品牌认知</x:v>
      </x:c>
      <x:c r="O78" s="5" t="str">
        <x:v>怡可纳（YIKENA）是济南怡能食品科技有限公司旗下的食品健康品牌，2017年创立于山东省济南市，主要面向健身人群、乳糖不耐受者及注重日常营养补充的消费者，产品覆盖蛋白粉、益生菌、果蔬粉、黑咖啡、巧克力等多个品类。 核心产品与特点 酵母蛋白粉：品牌主打产品，采用酵母可控发酵技术，不含乳糖，适合乳糖不耐受人群。蛋白质含量约71%-75.6%，吸收速度介于乳清蛋白与酪蛋白之间，富含维生素B。 益生菌：新升级款每条含500亿活性益生菌，添加益生元，草莓味，适合成</x:v>
      </x:c>
      <x:c r="P78" s="5" t="str">
        <x:v>混合</x:v>
      </x:c>
      <x:c r="Q78" s="5" t="str">
        <x:v>酵母蛋白、价格优势、乳糖不耐场景、口感/冲泡体验、运动/健身</x:v>
      </x:c>
      <x:c r="R78" s="5" t="str">
        <x:v>怡可纳品牌介绍-怡可纳蛋白粉_乳清蛋白粉-买购APP
怡可纳蛋白粉，口感清爽溶解快，但要注意这几点
苏州怡可纳园林有限公司 (苏州市相城区元和街道喜庆路99号三楼B区B-3002室邮政编码215137) | 江苏新工商名录 - 名录集
怡可纳蛋白粉，只推荐绿豆味！
怡可纳抖音品牌数据分析_商品数55/达人数418-蝉妈妈
怡可纳高因咖啡，提神效果绝了！
怡可纳旗舰店-网店→买购APP</x:v>
      </x:c>
      <x:c r="S78" s="5" t="str">
        <x:v>https://m.maigoo.com/brand/1635897.html
https://page.sm.cn/blm/node-page-new-995/index?h=iknow.v5.quark.cn&amp;id=28_518e5f443d0794dad92ced4c51e1f4ff
https://gongshang.mingluji.com/jiangsu/name/%E8%8B%8F%E5%B7%9E%E6%80%A1%E5%8F%AF%E7%BA%B3%E5%9B%AD%E6%9E%97%E6%9C%89%E9%99%90%E5%85%AC%E5%8F%B8
https://page.sm.cn/blm/node-page-new-995/index?h=iknow.v4_3.quark.cn&amp;id=28_760809b881176716ff58ce5a553379d0
https://www.chanmama.com/open/brandRank/0638870533698.html
https://page.sm.cn/blm/node-page-new-995/index?h=iknow.v5_1.quark.cn&amp;id=28_65d898ae6eea6b60eb800f72b3979e96
https://www.maigoo.com/webshop/452745.html</x:v>
      </x:c>
      <x:c r="T78" s="5" t="str">
        <x:v>m.maigoo.com
page.sm.cn
gongshang.mingluji.com
page.sm.cn
www.chanmama.com
page.sm.cn
www.maigoo.com</x:v>
      </x:c>
      <x:c r="U78" s="5" t="str">
        <x:v>是</x:v>
      </x:c>
      <x:c r="V78" s="5" t="str"/>
      <x:c r="W78" s="5" t="str">
        <x:v>https://www.qianwen.com/chat/87c65e2d90db4aca8732cb0299fd480a</x:v>
      </x:c>
      <x:c r="X78" s="5" t="n">
        <x:v>7</x:v>
      </x:c>
      <x:c r="Y78" s="5" t="str">
        <x:v>否</x:v>
      </x:c>
    </x:row>
    <x:row r="79" ht="34" customHeight="1">
      <x:c r="A79" s="5" t="str">
        <x:v>Q18</x:v>
      </x:c>
      <x:c r="B79" s="5" t="str">
        <x:v>怡可纳蛋白粉怎么样？</x:v>
      </x:c>
      <x:c r="C79" s="5" t="str">
        <x:v>主动认知</x:v>
      </x:c>
      <x:c r="D79" s="5" t="str">
        <x:v>千问</x:v>
      </x:c>
      <x:c r="E79" s="5" t="str">
        <x:v>主动</x:v>
      </x:c>
      <x:c r="F79" s="5" t="str">
        <x:v>2026/9/28 15:42:03</x:v>
      </x:c>
      <x:c r="G79" s="5" t="str">
        <x:v>有效</x:v>
      </x:c>
      <x:c r="H79" s="5" t="str">
        <x:v>怡可纳是国产首个酵母蛋白品牌，整体性价比很高，适合预算有限的学生党、乳糖不耐受人群及追求高性价比的健身人群。以下是关于怡可纳蛋白粉的详细分析：
营养价值
蛋白质含量：标注为71%，实测可达74%-75%。
吸收利用率：约94%-96%，生物价87，略低于乳清蛋白但优于大多数植物蛋白。
氨基酸组成：必需氨基酸占比约43.8%-44.89%（乳清蛋白约47.52%），甘氨酸含量较高，但异亮氨酸和苏氨酸低于乳清蛋白。
不含乳糖：适合乳糖不耐受人群和素食者。
注意：钠和脂肪含量略高，建议搭配其他蛋白质来源食用；尿酸高者需谨慎，因其嘌呤含量较高。
口感与口味
口味选择：包括炭烧麦香、绿豆沙、开心果草莓、抹茶、哈密瓜等。
口感评价：
炭烧麦香、绿豆沙等口味接受度较高，自带谷物清香，甜度适中。
部分用户反馈哈密瓜等口味体验不佳，有微酸、微苦或类似啤酒发酵的味道。
口感不及乳清蛋白顺滑，但升级后有所改善。
溶解度与冲泡体验
溶解度：早期版本溶解度较差，冲泡易产生泡沫、飞粉严重、易结块或挂壁。
改进：新版本有所改善，粉质细腻，溶解性较好，无明显结块或挂壁。
冲泡建议：建议先加水再加粉或使用温水（30g粉配300ml温水），静置2分钟可改善沉淀与泡沫。
价格与性价比
价格：2磅约65-89元，5磅约165-189元，活动价可低至109-165元。
性价比：相比乳清蛋白粉溢价较低，性价比突出，适合预算有限的学生党及追求蛋白质摄入的人群。
品牌与生产
品牌背景：隶属济南怡能食品，由天津小薇生物代工，原料可能来自安琪酵母。
市场表现：近12个月单品销量超10万，销售额破千万。
总结
怡可纳蛋白粉在预算有限的情况下是一个不错的选择，尤其适合乳糖不耐受人群和追求高性价比的健身人群。虽然溶解度和口感方面存在一些不足，但其高蛋白含量和良好的吸收率使其成为一款值得尝试的产品。如果你对口味和溶解度有较高要求，可能需要考虑其他品牌。
需要我帮你搭配一份适合健身人群的每日蛋白质摄入计划吗？
好的，交给工作助理模式继续完成
04:29
乳清蛋白大涨？酵母蛋白粉成性价比首选？谁才是最有性价比性价比的那一个？
酵母蛋白粉
01:20
怡可纳的酵母相对来说是酵母沙感比较少的产品了 甜度也不高 对酵母有极致这类需求的可以看下#怡可纳 #蛋白粉 #酵母蛋白粉
2a7uk1
00:34
长期喝蛋白粉嫌贵，健身党平价蛋白补给来了，怡可纳酵母蛋白粉 #营养补剂howto[话题]# #居家锻炼[话题]# #蛋白补充新方式[话题]# #蛋白粉[话题]# #补充蛋白质[话题]# #美食解构主理人[话题]#
运动康养大丹
03:19
【从夯到拉】酵母蛋白粉按照营养成分表和配料表排行(1)
飞龙摘星
怡可纳花生可可蛋白粉，解锁成香蕉可可奶昔
奶盖研究所
02:05
国产酵母蛋白对比 #怡可纳 #概特 #米当卡 #酵母蛋白
时光匆匆的zV小流年
补蛋白不踩坑！四款热门蛋白粉推荐
向日葵收集屋
02:58
怡可纳绿豆沙口味酵母蛋白粉
钱袋子保卫战
06:56
怡可纳开心果草莓味测评，好喝的小伙嗷嗷叫，顺带测一下某宝很便宜的恰巴塔
好想吃蛋挞泡芙</x:v>
      </x:c>
      <x:c r="I79" s="5" t="str">
        <x:v>不适用</x:v>
      </x:c>
      <x:c r="J79" s="5" t="str"/>
      <x:c r="K79" s="5" t="str"/>
      <x:c r="L79" s="5" t="str"/>
      <x:c r="M79" s="5" t="str">
        <x:v>怡可纳</x:v>
      </x:c>
      <x:c r="N79" s="5" t="str">
        <x:v>主动品牌认知</x:v>
      </x:c>
      <x:c r="O79" s="5" t="str">
        <x:v>怡可纳是国产首个酵母蛋白品牌，整体性价比很高，适合预算有限的学生党、乳糖不耐受人群及追求高性价比的健身人群。以下是关于怡可纳蛋白粉的详细分析： 营养价值 蛋白质含量：标注为71%，实测可达74%-75%。 吸收利用率：约94%-96%，生物价87，略低于乳清蛋白但优于大多数植物蛋白。 氨基酸组成：必需氨基酸占比约43.8%-44.89%（乳清蛋白约47.52%），甘氨酸含量较高，但异亮氨酸和苏氨酸低于乳清蛋白。 不含乳糖：适合乳糖不耐受人群和素食者。 注意</x:v>
      </x:c>
      <x:c r="P79" s="5" t="str">
        <x:v>混合</x:v>
      </x:c>
      <x:c r="Q79" s="5" t="str">
        <x:v>酵母蛋白、价格优势、乳糖不耐场景、口感/冲泡体验、运动/健身</x:v>
      </x:c>
      <x:c r="R79" s="5" t="str">
        <x:v>怡可纳蛋白粉，口感清爽溶解快，但要注意这几点
怡可纳酵母蛋白粉，肠胃友好又好喝！
怡可纳 酵母蛋白粉 71%蛋白质 绿豆沙口味 2.27kg+摇摇杯 169元（需用券） - 京东商城 | 逛丢 | 实时同步全网折扣
学生党选择什么蛋白粉最有性价比，今天我们讲酵母蛋白#健身#健身补剂#酵母蛋白#怡可纳酵母蛋白#蛋白质补充
蛋白粉品鉴记：怡可纳和马泰时刻，清淡合我口味</x:v>
      </x:c>
      <x:c r="S79" s="5" t="str">
        <x:v>https://page.sm.cn/blm/node-page-new-995/index?h=iknow.v5.quark.cn&amp;id=28_518e5f443d0794dad92ced4c51e1f4ff
https://page.sm.cn/blm/node-page-new-995/index?h=iknow.v5.quark.cn&amp;id=28_72b379dcb0e29c55f6b95fc758574740
https://guangdiu.com/detail.php?id=28759903
http://v1.user_auth_video.quark.cn?item_id=381a08358fd944679832365789cf609f
https://page.sm.cn/blm/node-page-new-995/index?h=iknow.v5_1.quark.cn&amp;id=28_d8d3ed76f5ab4e1c6d55e3f28f233c81</x:v>
      </x:c>
      <x:c r="T79" s="5" t="str">
        <x:v>page.sm.cn
page.sm.cn
guangdiu.com
v1.user_auth_video.quark.cn
page.sm.cn</x:v>
      </x:c>
      <x:c r="U79" s="5" t="str">
        <x:v>是</x:v>
      </x:c>
      <x:c r="V79" s="5" t="str"/>
      <x:c r="W79" s="5" t="str">
        <x:v>https://www.qianwen.com/chat/85166bb865514449a09647d16d2d953d</x:v>
      </x:c>
      <x:c r="X79" s="5" t="n">
        <x:v>5</x:v>
      </x:c>
      <x:c r="Y79" s="5" t="str">
        <x:v>否</x:v>
      </x:c>
    </x:row>
    <x:row r="80" ht="34" customHeight="1">
      <x:c r="A80" s="5" t="str">
        <x:v>Q19</x:v>
      </x:c>
      <x:c r="B80" s="5" t="str">
        <x:v>怡可纳酵母蛋白值得买吗？</x:v>
      </x:c>
      <x:c r="C80" s="5" t="str">
        <x:v>主动认知</x:v>
      </x:c>
      <x:c r="D80" s="5" t="str">
        <x:v>千问</x:v>
      </x:c>
      <x:c r="E80" s="5" t="str">
        <x:v>主动</x:v>
      </x:c>
      <x:c r="F80" s="5" t="str">
        <x:v>2026/9/28 15:42:13</x:v>
      </x:c>
      <x:c r="G80" s="5" t="str">
        <x:v>有效</x:v>
      </x:c>
      <x:c r="H80" s="5" t="str">
        <x:v>怡可纳酵母蛋白粉值得买，尤其适合预算有限、乳糖不耐受或肠胃敏感的人群，是当下乳清蛋白涨价背景下性价比很高的平替选择。
核心优势
蛋白质含量达标，营养结构完整
标注蛋白含量71%，实测可达74%-75%，属于合格水平
含全部9种必需氨基酸，必需氨基酸占比约44%，生物价87，吸收利用率约94%-96%，略低于乳清蛋白但优于植物蛋白
无乳糖、无胆固醇，肠胃耐受性好，不易胀气腹泻
价格极具竞争力
5磅（约2.27kg）日常价约169-189元，促销时可低至109-159元，性价比远高于同规格乳清蛋白
2磅装约65-89元，适合尝鲜或短期使用
口味选择较丰富
绿豆沙、炭烧麦香等口味口碑较好，甜度适中，部分用户反馈口感类似豆浆或绿豆糕
新批次采用安琪2.0原料，口感比早期版本更顺滑
主要短板
溶解度是最大槽点
冲泡后泡沫较多，需静置1-2分钟才能改善
口感偏"沙"，有轻微颗粒感，部分用户觉得糊嗓子
品牌方自己也在包装上标注了"溶解性较差，需轻摇混合"
吸收速度偏慢
酵母蛋白属于缓释型蛋白，吸收速度介于乳清和酪蛋白之间，不太适合作为练后快速补剂
钠和脂肪含量略高
相比纯乳清蛋白，钠和脂肪数值稍高，但在可接受范围内
购买建议
推荐入手的情况：
预算有限，追求高性价比的日常蛋白补充
乳糖不耐受或喝乳清容易胀气、长痘
作为全天分次加餐的蛋白来源（非练后快速补充）
可以考虑观望的情况：
对口感要求极高，无法接受颗粒感和泡沫
需要练后快速吸收的蛋白补剂（可考虑怡可纳新出的水解酵母蛋白版本，吸收更快但仅测试装在售）
追求极致蛋白含量（80%+）
总体来说，怡可纳作为国产酵母蛋白的开创品牌，品控稳定、价格亲民，在酵母蛋白品类中属于"闭眼冲"的第一梯队选择。如果你能接受它的溶解度和口感短板，它确实是一款"花小钱办大事"的靠谱口粮粉。
需要我帮你整理一下目前几个主流电商平台的购买渠道和近期活动吗？
好的，交给工作助理模式继续完成
04:29
乳清蛋白大涨？酵母蛋白粉成性价比首选？谁才是最有性价比性价比的那一个？
酵母蛋白粉
03:19
【从夯到拉】酵母蛋白粉按照营养成分表和配料表排行(1)
飞龙摘星
怡可纳蛋白粉，口感清爽溶解快，但要注意这几点
熊猫收藏屋
00:34
长期喝蛋白粉嫌贵，健身党平价蛋白补给来了，怡可纳酵母蛋白粉 #营养补剂howto[话题]# #居家锻炼[话题]# #蛋白补充新方式[话题]# #蛋白粉[话题]# #补充蛋白质[话题]# #美食解构主理人[话题]#
运动康养大丹
01:20
怡可纳的酵母相对来说是酵母沙感比较少的产品了 甜度也不高 对酵母有极致这类需求的可以看下#怡可纳 #蛋白粉 #酵母蛋白粉
2a7uk1
我的酵母蛋白粉测评，只喝不长痘
山楂片拯救计划
02:05
国产酵母蛋白对比 #怡可纳 #概特 #米当卡 #酵母蛋白
时光匆匆的zV小流年
02:58
怡可纳绿豆沙口味酵母蛋白粉
钱袋子保卫战
03:37
第二期，酵母蛋白粉品尝（怡可纳开心果草莓口味）
闲蝉抱冷叶
怡可纳酵母蛋白粉，肠胃友好又好喝！
星星创作屋</x:v>
      </x:c>
      <x:c r="I80" s="5" t="str">
        <x:v>不适用</x:v>
      </x:c>
      <x:c r="J80" s="5" t="str"/>
      <x:c r="K80" s="5" t="str"/>
      <x:c r="L80" s="5" t="str"/>
      <x:c r="M80" s="5" t="str">
        <x:v>怡可纳</x:v>
      </x:c>
      <x:c r="N80" s="5" t="str">
        <x:v>主动品牌认知</x:v>
      </x:c>
      <x:c r="O80" s="5" t="str">
        <x:v>怡可纳酵母蛋白粉值得买，尤其适合预算有限、乳糖不耐受或肠胃敏感的人群，是当下乳清蛋白涨价背景下性价比很高的平替选择。 核心优势 蛋白质含量达标，营养结构完整 标注蛋白含量71%，实测可达74%-75%，属于合格水平 含全部9种必需氨基酸，必需氨基酸占比约44%，生物价87，吸收利用率约94%-96%，略低于乳清蛋白但优于植物蛋白 无乳糖、无胆固醇，肠胃耐受性好，不易胀气腹泻 价格极具竞争力 5磅（约2.27kg）日常价约169-189元，促销时可低至109</x:v>
      </x:c>
      <x:c r="P80" s="5" t="str">
        <x:v>混合</x:v>
      </x:c>
      <x:c r="Q80" s="5" t="str">
        <x:v>酵母蛋白、价格优势、乳糖不耐场景、口感/冲泡体验</x:v>
      </x:c>
      <x:c r="R80" s="5" t="str">
        <x:v>怡可纳蛋白粉，乳糖不耐也能喝的麦香版
移动端：肌肉科技 白金系列分离乳清蛋白粉 263元（淘金币可抵31.04元起） - 天猫 | 逛丢 | 实时同步全网折扣
酵母蛋白：打破认知误区的低嘌呤优质蛋白新选择 - 食品频道
怡可纳酵母蛋白粉，肠胃友好又好喝！
蛋白粉品鉴记：怡可纳和马泰时刻，清淡合我口味</x:v>
      </x:c>
      <x:c r="S80" s="5" t="str">
        <x:v>https://page.sm.cn/blm/node-page-new-995/index?h=iknow.v5.quark.cn&amp;id=28_65c2baa86a8d895bd2cb09b9232e4cf4
https://guangdiu.com/detail.php?id=28953291&amp;tom=1
https://shipin.sdnews.com.cn/spts/202512/t20251202_4609701.htm
https://page.sm.cn/blm/node-page-new-995/index?h=iknow.v5.quark.cn&amp;id=28_72b379dcb0e29c55f6b95fc758574740
https://page.sm.cn/blm/node-page-new-995/index?h=iknow.v5_1.quark.cn&amp;id=28_d8d3ed76f5ab4e1c6d55e3f28f233c81</x:v>
      </x:c>
      <x:c r="T80" s="5" t="str">
        <x:v>page.sm.cn
guangdiu.com
shipin.sdnews.com.cn
page.sm.cn
page.sm.cn</x:v>
      </x:c>
      <x:c r="U80" s="5" t="str">
        <x:v>是</x:v>
      </x:c>
      <x:c r="V80" s="5" t="str"/>
      <x:c r="W80" s="5" t="str">
        <x:v>https://www.qianwen.com/chat/bf58e309dc7a46a98bb7ca4f36460457</x:v>
      </x:c>
      <x:c r="X80" s="5" t="n">
        <x:v>5</x:v>
      </x:c>
      <x:c r="Y80" s="5" t="str">
        <x:v>否</x:v>
      </x:c>
    </x:row>
    <x:row r="81" ht="34" customHeight="1">
      <x:c r="A81" s="5" t="str">
        <x:v>Q20</x:v>
      </x:c>
      <x:c r="B81" s="5" t="str">
        <x:v>怡可纳和其他蛋白粉品牌相比有什么特点？</x:v>
      </x:c>
      <x:c r="C81" s="5" t="str">
        <x:v>主动认知</x:v>
      </x:c>
      <x:c r="D81" s="5" t="str">
        <x:v>千问</x:v>
      </x:c>
      <x:c r="E81" s="5" t="str">
        <x:v>主动</x:v>
      </x:c>
      <x:c r="F81" s="5" t="str">
        <x:v>2026/9/28 15:42:25</x:v>
      </x:c>
      <x:c r="G81" s="5" t="str">
        <x:v>有效</x:v>
      </x:c>
      <x:c r="H81" s="5" t="str">
        <x:v>怡可纳和其他蛋白粉品牌相比，核心优势在于以酵母蛋白为原料，主打高性价比、零乳糖肠胃友好、品控稳定，适合预算有限的学生党、乳糖不耐受及追求稳定口粮的健身人群；但短板是蛋白含量在同类中偏低、冲泡易起泡、口味选择少。具体对比如下：
核心特点与优势
原料特殊：采用酵母蛋白（微生物蛋白），非乳清或植物蛋白，天然不含乳糖，适合乳糖不耐受人群，饮用后不易胀气、拉肚子。
性价比突出：5磅装（2.27kg）官方价约189元，活动价可低至165元以内，远低于主流乳清蛋白粉（通常四五百元），是学生党、预算有限人群的高性价比选择。
营养吸收率尚可：蛋白质含量标注71%，实测可达74%左右，吸收利用率约94%-96%，生物价87，略低于乳清蛋白但优于植物蛋白，PDCAAS评分1.0（完全蛋白）。
配方干净：不含乳糖、蔗糖、麦芽糖，无多余添加剂，肠胃敏感者可长期饮用。
品控稳定：作为酵母蛋白粉市场早期品牌，原料供应链稳定，批次间口感差距小，属于“全能口粮款”。
与其他品牌的对比
蛋白含量：怡可纳约71%-75%，低于南巨（80%）、蜜雪冰茶（81.5%）、肌肉博士（80%）等品牌，在酵母蛋白粉中属于中等偏下水平。
口感与溶解度：冲泡后泡沫偏多，需静置1-2分钟消散；粉质有轻微沙感，口感类似谷物豆浆，不如乳清蛋白顺滑。部分用户反馈有微酸或发酵底味，但升级后口感已改善。
口味选择：口味较少（炭烧麦香、绿豆沙、抹茶等），调味偏简约，不如All Keep 2.0（七种特色口味）、马泰时刻等品牌丰富。
定位差异：主打“稳定口粮”，适合长期饮用、追求性价比的人群；而All Keep 2.0主打“好喝+新手友好”，南巨主打“超高蛋白+极致性价比”，英之素主打“肠胃敏感+益生菌配方”。
适用人群与注意事项
适合人群：预算有限的学生党、乳糖不耐受者、追求稳定口粮的健身人群、肠胃敏感者。
注意事项：嘌呤含量较高，尿酸高者需谨慎；吸收速度较慢，更适合全天分次补充，不建议完全作为练后快速补充。
总结
怡可纳在酵母蛋白粉市场中属于“老牌稳定款”，综合短板最少，适合追求性价比、肠胃友好、长期饮用的用户。若追求更高蛋白含量、更好口感或丰富口味，可考虑南巨、All Keep 2.0、米当卡等品牌。
你更看重哪方面？告诉我预算和口味偏好，我帮你直接推荐最适合的款：
💰 预算有限，追求性价比
😋 口感好、口味丰富更重要
🌱 乳糖不耐受 / 肠胃敏感
04:29
乳清蛋白大涨？酵母蛋白粉成性价比首选？谁才是最有性价比性价比的那一个？
酵母蛋白粉
03:19
【从夯到拉】酵母蛋白粉按照营养成分表和配料表排行(1)
飞龙摘星
怡可纳蛋白粉，口感清爽溶解快，但要注意这几点
熊猫收藏屋
00:34
长期喝蛋白粉嫌贵，健身党平价蛋白补给来了，怡可纳酵母蛋白粉 #营养补剂howto[话题]# #居家锻炼[话题]# #蛋白补充新方式[话题]# #蛋白粉[话题]# #补充蛋白质[话题]# #美食解构主理人[话题]#
运动康养大丹
02:05
国产酵母蛋白对比 #怡可纳 #概特 #米当卡 #酵母蛋白
时光匆匆的zV小流年
补蛋白不踩坑！四款热门蛋白粉推荐
向日葵收集屋
01:20
怡可纳的酵母相对来说是酵母沙感比较少的产品了 甜度也不高 对酵母有极致这类需求的可以看下#怡可纳 #蛋白粉 #酵母蛋白粉
2a7uk1
怡可纳酵母蛋白粉，肠胃友好又好喝！
星星创作屋
蛋白粉品鉴记：怡可纳和马泰时刻，清淡合我口味
笔记本疗愈星球
04:13
酵母蛋白粉品牌推荐
听汤涛仔琪说养生</x:v>
      </x:c>
      <x:c r="I81" s="5" t="str">
        <x:v>不适用</x:v>
      </x:c>
      <x:c r="J81" s="5" t="str"/>
      <x:c r="K81" s="5" t="str"/>
      <x:c r="L81" s="5" t="str"/>
      <x:c r="M81" s="5" t="str">
        <x:v>Keep、怡可纳、米当卡、ALLKEEP、南巨、英之素、马泰时刻</x:v>
      </x:c>
      <x:c r="N81" s="5" t="str">
        <x:v>主动品牌认知</x:v>
      </x:c>
      <x:c r="O81" s="5" t="str">
        <x:v>怡可纳和其他蛋白粉品牌相比，核心优势在于以酵母蛋白为原料，主打高性价比、零乳糖肠胃友好、品控稳定，适合预算有限的学生党、乳糖不耐受及追求稳定口粮的健身人群；但短板是蛋白含量在同类中偏低、冲泡易起泡、口味选择少。具体对比如下： 核心特点与优势 原料特殊：采用酵母蛋白（微生物蛋白），非乳清或植物蛋白，天然不含乳糖，适合乳糖不耐受人群，饮用后不易胀气、拉肚子。 性价比突出：5磅装（2.27kg）官方价约189元，活动价可低至165元以内，远低于主流乳清蛋白粉（通</x:v>
      </x:c>
      <x:c r="P81" s="5" t="str">
        <x:v>混合</x:v>
      </x:c>
      <x:c r="Q81" s="5" t="str">
        <x:v>酵母蛋白、价格优势、乳糖不耐场景、口感/冲泡体验、运动/健身</x:v>
      </x:c>
      <x:c r="R81" s="5" t="str">
        <x:v>乳清蛋白大涨？酵母蛋白粉成性价比首选？谁才是最有性价比性价比的那一个？
酵母蛋白与乳清蛋白对比
追求性价比的直接选 预算不足的学生党直接选 这款酵母蛋白粉味道也是没得说怡可纳 酵母蛋白粉 蛋白粉 学生党蛋白粉
蛋白粉品鉴记：怡可纳和马泰时刻，清淡合我口味
学生党选择什么蛋白粉最有性价比，今天我们讲酵母蛋白#健身#健身补剂#酵母蛋白#怡可纳酵母蛋白#蛋白质补充
怡可纳（食品|健康品）
怡可纳酵母蛋白粉，肠胃友好又好喝！</x:v>
      </x:c>
      <x:c r="S81" s="5" t="str">
        <x:v>https://www.bilibili.com/video/BV1qDu96gExv
http://v1.hao_produce_video.quark.cn?item_id=24edb0423b6147b989cf6c0257647852
http://tv.sohu.com/v/dXMvNDM5NDE0OTE4LzY5MTgyNzA4My5zaHRtbA==.html?channeled=2001040002
https://page.sm.cn/blm/node-page-new-995/index?h=iknow.v5_1.quark.cn&amp;id=28_d8d3ed76f5ab4e1c6d55e3f28f233c81
http://v1.user_auth_video.quark.cn?item_id=381a08358fd944679832365789cf609f
http://www.vcom.cc/v-yikena
https://page.sm.cn/blm/node-page-new-995/index?h=iknow.v5.quark.cn&amp;id=28_72b379dcb0e29c55f6b95fc758574740</x:v>
      </x:c>
      <x:c r="T81" s="5" t="str">
        <x:v>www.bilibili.com
v1.hao_produce_video.quark.cn
tv.sohu.com
page.sm.cn
v1.user_auth_video.quark.cn
www.vcom.cc
page.sm.cn</x:v>
      </x:c>
      <x:c r="U81" s="5" t="str">
        <x:v>是</x:v>
      </x:c>
      <x:c r="V81" s="5" t="str"/>
      <x:c r="W81" s="5" t="str">
        <x:v>https://www.qianwen.com/chat/e4a0e64b146f4303a7129c0da342d171</x:v>
      </x:c>
      <x:c r="X81" s="5" t="n">
        <x:v>7</x:v>
      </x:c>
      <x:c r="Y81" s="5" t="str">
        <x:v>否</x:v>
      </x:c>
    </x:row>
    <x:row r="82" ht="34" customHeight="1">
      <x:c r="A82" s="5" t="str">
        <x:v>Q1</x:v>
      </x:c>
      <x:c r="B82" s="5" t="str">
        <x:v>酵母蛋白是什么？</x:v>
      </x:c>
      <x:c r="C82" s="5" t="str">
        <x:v>品类认知</x:v>
      </x:c>
      <x:c r="D82" s="5" t="str">
        <x:v>Kimi</x:v>
      </x:c>
      <x:c r="E82" s="5" t="str">
        <x:v>自然</x:v>
      </x:c>
      <x:c r="F82" s="5" t="str">
        <x:v>2026/9/28 15:14:22</x:v>
      </x:c>
      <x:c r="G82" s="5" t="str">
        <x:v>有效</x:v>
      </x:c>
      <x:c r="H82" s="5" t="str">
        <x:v>酵母蛋白是指以酵母（yeast）为原料提取或制备的蛋白质。最常见的来源是酿酒酵母（Saccharomyces cerevisiae），也就是我们平时做面包、酿啤酒用的那种酵母。
基本特点：
营养价值高：酵母细胞含有约 45%–55% 的蛋白质，含有人体所需的全部必需氨基酸，是完整的优质蛋白，赖氨酸含量尤其丰富（弥补谷物蛋白的不足）。
消化吸收好：氨基酸组成接近 FAO/WHO 推荐的理想模式，生物利用率高。
其他优点：脂肪含量低，不含胆固醇；还自带 B 族维生素、β-葡聚糖等营养成分。
常见用途：
食品添加剂：作为营养强化剂、鲜味剂（酵母抽提物，富含呈味核苷酸）用于调味品、汤料、方便食品。
蛋白补充：制作蛋白粉、蛋白饮料，供健身人群、素食者（替代乳清蛋白）使用。
特殊配方食品：由于不过敏源性低（相比大豆、牛奶蛋白），适合乳糖不耐受或牛奶蛋白过敏的人群。
宠物饲料和发酵工业：作为优质蛋白原料。
和"酵母提取物"的区别：酵母蛋白主要指蛋白质成分本身；而酵母抽提物（YE）是酵母细胞内容物的水解产物，主要提供鲜味和风味，蛋白只是其中一部分。
近年来随着"替代蛋白"概念兴起，酵母蛋白也被视为一种可持续的蛋白来源——因为酵母发酵生长快、不占耕地、不依赖动物养殖，属于环境友好型蛋白。</x:v>
      </x:c>
      <x:c r="I82" s="5" t="str">
        <x:v>否</x:v>
      </x:c>
      <x:c r="J82" s="5" t="str"/>
      <x:c r="K82" s="5" t="str"/>
      <x:c r="L82" s="5" t="str"/>
      <x:c r="M82" s="5" t="str"/>
      <x:c r="N82" s="5" t="str">
        <x:v>类型建议或无品牌</x:v>
      </x:c>
      <x:c r="O82" s="5" t="str"/>
      <x:c r="P82" s="5" t="str"/>
      <x:c r="Q82" s="5" t="str"/>
      <x:c r="R82" s="5" t="str"/>
      <x:c r="S82" s="5" t="str"/>
      <x:c r="T82" s="5" t="str"/>
      <x:c r="U82" s="5" t="str">
        <x:v>否</x:v>
      </x:c>
      <x:c r="V82" s="5" t="str"/>
      <x:c r="W82" s="5" t="str">
        <x:v>https://www.kimi.com/chat/1a0e6dc7-23e2-8085-8000-09cb93b4482b?chat_enter_method=home</x:v>
      </x:c>
      <x:c r="X82" s="5" t="n">
        <x:v>0</x:v>
      </x:c>
      <x:c r="Y82" s="5" t="str">
        <x:v>否</x:v>
      </x:c>
    </x:row>
    <x:row r="83" ht="34" customHeight="1">
      <x:c r="A83" s="5" t="str">
        <x:v>Q2</x:v>
      </x:c>
      <x:c r="B83" s="5" t="str">
        <x:v>酵母蛋白和乳清蛋白有什么区别？</x:v>
      </x:c>
      <x:c r="C83" s="5" t="str">
        <x:v>品类认知</x:v>
      </x:c>
      <x:c r="D83" s="5" t="str">
        <x:v>Kimi</x:v>
      </x:c>
      <x:c r="E83" s="5" t="str">
        <x:v>自然</x:v>
      </x:c>
      <x:c r="F83" s="5" t="str">
        <x:v>2026/9/28 15:15:09</x:v>
      </x:c>
      <x:c r="G83" s="5" t="str">
        <x:v>有效</x:v>
      </x:c>
      <x:c r="H83" s="5" t="str">
        <x:v>酵母蛋白和乳清蛋白是两种不同来源的蛋白粉/蛋白原料，主要区别如下：
来源不同
乳清蛋白：从牛奶中提取，是奶酪生产的副产物，属于动物蛋白。
酵母蛋白：以酵母（常见如酿酒酵母）为原料，通过发酵、提取、纯化工艺获得，属于微生物来源蛋白。
氨基酸组成
乳清蛋白是公认的"完全蛋白"，氨基酸比例接近人体需求，支链氨基酸（BCAA，尤其是亮氨酸）含量高，吸收利用率高，生物价（BV）很高。
酵母蛋白也是完全蛋白，含有人体必需的全部氨基酸，含量大致接近乳清蛋白水平，但传统上其消化吸收率略逊于乳清（不过现代提取工艺已大幅改善）。
吸收速度
乳清蛋白（尤其分离和水解型）消化吸收快，适合训练后快速补充。
酵母蛋白消化吸收相对较慢，但近年研究显示其氨基酸释放较平缓，可持续供应，饱腹感更强，适合作为日常蛋白补充。
乳糖问题
乳清蛋白含乳糖（浓缩型较多，分离型很少），乳糖不耐受者可能不适。
酵母蛋白不含乳糖，适合乳糖不耐受、喝牛奶易腹泻的人群。
其他特点
酵母蛋白含有一些特有的功能成分（如β-葡聚糖、核苷酸等），胆固醇、脂肪含量低。
乳清蛋白研究历史更长，增肌和训练恢复方面的临床证据非常充分；酵母蛋白的相关研究相对较新，但已有研究显示其在增肌方面的效果与乳清蛋白相当。
口味上，酵母蛋白可能有轻微的发酵风味，口感处理要求更高。
怎么选
健身增肌、训练后快速补充：乳清蛋白更成熟。
乳糖不耐受、素食主义者（蛋奶素、纯素皆可）、追求饱腹感和慢消化：酵母蛋白是好选择。
两者都是优质蛋白，可以混合使用，取长补短。</x:v>
      </x:c>
      <x:c r="I83" s="5" t="str">
        <x:v>否</x:v>
      </x:c>
      <x:c r="J83" s="5" t="str"/>
      <x:c r="K83" s="5" t="str"/>
      <x:c r="L83" s="5" t="str"/>
      <x:c r="M83" s="5" t="str"/>
      <x:c r="N83" s="5" t="str">
        <x:v>类型建议或无品牌</x:v>
      </x:c>
      <x:c r="O83" s="5" t="str"/>
      <x:c r="P83" s="5" t="str"/>
      <x:c r="Q83" s="5" t="str"/>
      <x:c r="R83" s="5" t="str"/>
      <x:c r="S83" s="5" t="str"/>
      <x:c r="T83" s="5" t="str"/>
      <x:c r="U83" s="5" t="str">
        <x:v>否</x:v>
      </x:c>
      <x:c r="V83" s="5" t="str"/>
      <x:c r="W83" s="5" t="str">
        <x:v>https://www.kimi.com/chat/1a0e6dda-b842-8c9f-8000-09cbafbd7fe4?chat_enter_method=new_chat</x:v>
      </x:c>
      <x:c r="X83" s="5" t="n">
        <x:v>0</x:v>
      </x:c>
      <x:c r="Y83" s="5" t="str">
        <x:v>否</x:v>
      </x:c>
    </x:row>
    <x:row r="84" ht="34" customHeight="1">
      <x:c r="A84" s="5" t="str">
        <x:v>Q3</x:v>
      </x:c>
      <x:c r="B84" s="5" t="str">
        <x:v>酵母蛋白值得买吗？</x:v>
      </x:c>
      <x:c r="C84" s="5" t="str">
        <x:v>品类认知</x:v>
      </x:c>
      <x:c r="D84" s="5" t="str">
        <x:v>Kimi</x:v>
      </x:c>
      <x:c r="E84" s="5" t="str">
        <x:v>自然</x:v>
      </x:c>
      <x:c r="F84" s="5" t="str">
        <x:v>2026/9/28 15:16:29</x:v>
      </x:c>
      <x:c r="G84" s="5" t="str">
        <x:v>有效</x:v>
      </x:c>
      <x:c r="H84" s="5" t="str">
        <x:v>简短结论：对特定人群值得，但不是蛋白粉的最优解。
酵母蛋白是从酿酒酵母等微生物中提取的植物蛋白，这两年在国内很火（安琪酵母等大厂都在推）。客观评价一下：
它的优势
完全蛋白，含全部必需氨基酸，PDCAAS 评分约 0.8–0.9，接近大豆蛋白
不含乳糖、胆固醇，适合乳糖不耐受、牛奶蛋白过敏、素食人群
低致敏性，对大豆过敏的人来说是很好的替代
消化速度较慢、饱腹感强，作为代餐或日常补充不错
生产过程碳排放和资源消耗低于畜牧蛋白
它的短板
增肌效率不如乳清蛋白：亮氨酸含量和消化率都偏低，刺激肌肉合成的能力弱一些
蛋白含量百分比通常只有 60–80%，低于分离乳清的 85–90%，性价比一般
有轻微酵母味，口感接受度因人而异
作为"新贵"原料，存在品牌溢价
什么情况下值得买
✅ 乳糖不耐受或牛奶蛋白过敏
✅ 素食者、对大豆过敏
✅ 想要饱腹感强的代餐蛋白
什么情况下不必买
❌ 健身增肌为主——分离乳清蛋白或乳清蛋白仍是效率之王，价格也常常更便宜
❌ 预算有限——大豆分离蛋白是性价比之选，营养差距不大
❌ 痛风或尿酸偏高者——需留意（纯分离蛋白粉嘌呤已大幅降低，但仍建议先咨询医生）
一句话：酵母蛋白是个"还不错但不够顶尖"的选择。如果你是它目标人群（乳糖不耐、过敏、素食），可以买；如果单纯为了补蛋白，乳清或大豆分离蛋白性价比更高。买的时候注意看配料表，选蛋白质含量高（≥70%）、配料干净的产品。</x:v>
      </x:c>
      <x:c r="I84" s="5" t="str">
        <x:v>否</x:v>
      </x:c>
      <x:c r="J84" s="5" t="str"/>
      <x:c r="K84" s="5" t="str"/>
      <x:c r="L84" s="5" t="str"/>
      <x:c r="M84" s="5" t="str"/>
      <x:c r="N84" s="5" t="str">
        <x:v>类型建议或无品牌</x:v>
      </x:c>
      <x:c r="O84" s="5" t="str"/>
      <x:c r="P84" s="5" t="str"/>
      <x:c r="Q84" s="5" t="str"/>
      <x:c r="R84" s="5" t="str"/>
      <x:c r="S84" s="5" t="str"/>
      <x:c r="T84" s="5" t="str"/>
      <x:c r="U84" s="5" t="str">
        <x:v>否</x:v>
      </x:c>
      <x:c r="V84" s="5" t="str"/>
      <x:c r="W84" s="5" t="str">
        <x:v>https://www.kimi.com/chat/1a0e6de8-c862-817f-8000-09cbd8844867?chat_enter_method=new_chat</x:v>
      </x:c>
      <x:c r="X84" s="5" t="n">
        <x:v>0</x:v>
      </x:c>
      <x:c r="Y84" s="5" t="str">
        <x:v>否</x:v>
      </x:c>
    </x:row>
    <x:row r="85" ht="34" customHeight="1">
      <x:c r="A85" s="5" t="str">
        <x:v>Q4</x:v>
      </x:c>
      <x:c r="B85" s="5" t="str">
        <x:v>酵母蛋白有哪些品牌？</x:v>
      </x:c>
      <x:c r="C85" s="5" t="str">
        <x:v>品类认知</x:v>
      </x:c>
      <x:c r="D85" s="5" t="str">
        <x:v>Kimi</x:v>
      </x:c>
      <x:c r="E85" s="5" t="str">
        <x:v>自然</x:v>
      </x:c>
      <x:c r="F85" s="5" t="str">
        <x:v>2026/9/28 15:23:00</x:v>
      </x:c>
      <x:c r="G85" s="5" t="str">
        <x:v>有效</x:v>
      </x:c>
      <x:c r="H85" s="5" t="str">
        <x:v>截至 2026 年 9 月，“酵母蛋白”常见有三类，品牌不太一样：
1）国内成品蛋白粉/营养品
安琪纽特：安琪酵母旗下品牌，主打 AnPro®/AngeoPro 酵母蛋白原料；公开报道提到其酵母蛋白粉采用乳清+大豆+酵母“三重蛋白”配方，且国内市占率长期较高。
GAT/概特：运动营养方向，有酵母蛋白粉系列，定位乳糖不耐受/健身人群。
电商渠道还可见京东京造、三角喵、凯普锐斯等，但更要核对配料表、蛋白含量和检测报告。
2）国际原料/工业端
常见酵母蛋白或营养酵母原料商包括 Angel Yeast 安琪酵母、Lesaffre 乐斯福、Lallemand 拉曼、AB Mauri、Alltech、DSM、Leiber、Biorigin、Nutreco 等。 安琪 AngeoPro 公开资料称蛋白含量可达 90%、PDCAAS 1.0、BCAA 超 21%，并强调无乳糖/主要过敏原/麸质/GMO。
3）“营养酵母”调味食品
如 Bragg、Marigold、Starwest 等多是营养酵母片/粉，偏 B 族维生素与风味，不等同于高纯度酵母蛋白粉。
选购时建议分清：酵母蛋白粉/分离蛋白看蛋白含量（常见≥70–80%）、PDCAAS/氨基酸评分、是否复配乳清/大豆；营养酵母看 B12 是否强化、嘌呤/核酸含量。高尿酸/痛风、肾功能不全、孕哺期或婴幼儿使用前先问医生。</x:v>
      </x:c>
      <x:c r="I85" s="5" t="str">
        <x:v>否</x:v>
      </x:c>
      <x:c r="J85" s="5" t="str"/>
      <x:c r="K85" s="5" t="str"/>
      <x:c r="L85" s="5" t="str"/>
      <x:c r="M85" s="5" t="str">
        <x:v>安琪纽特、概特/盖特、京东京造、三角喵</x:v>
      </x:c>
      <x:c r="N85" s="5" t="str">
        <x:v>品牌提及/类型说明</x:v>
      </x:c>
      <x:c r="O85" s="5" t="str"/>
      <x:c r="P85" s="5" t="str"/>
      <x:c r="Q85" s="5" t="str"/>
      <x:c r="R85" s="5" t="str">
        <x:v>
</x:v>
      </x:c>
      <x:c r="S85" s="5" t="str">
        <x:v>https://www.angelyeast.com/id/news/ye-savory/angel-yeast-redefines-taste-and-proteins-at-ifia.html#:~:text=AngeoPro%E2%84%A2%20Yeast%20Protein%20Takes%20Center%20Stage**Angel%20Yeast%20put%20significant%20emphasis%20on%20yeast%20protein%20as%20a%20core%20pillar%20of%20its%20future%20protein%20strategy.%20The%20company%20presented%20AngeoPro%E2%84%A2%20Yeast%20Protein,%20featuring%20up%20to%2090%%20protein%20content,%20PDCAAS%201.0,%20and%20over%2021%%20branched-chain%20amino%20acids%20(BCAA).%20With%20a
http://epaper.cn3x.com.cn/sxrb/content/202508/19/c320525.html
https://life.china.com/2026-06/05/content_586657.html#:~:text=%E8%87%AA1997%E5%B9%B4%E8%B5%B7%EF%BC%8C%E6%A6%82%E7%89%B9%E4%BE%BF%E8%87%B4%E5%8A%9B%E4%BA%8E%E7%A0%94%E7%A9%B6%E8%BF%90%E5%8A%A8%E8%90%A5%E5%85%BB%E8%A1%A5%E5%89%82%E5%9C%A8%E4%BD%93%E8%82%B2%E5%AE%9E%E8%B7%B5%E4%B8%AD%E7%9A%84%E5%BA%94%E7%94%A8%EF%BC%8C%E6%B1%87%E8%81%9A%E5%85%A8%E7%90%83%E5%B0%96%E7%AB%AF%E7%A7%91%E7%A0%94%E5%8A%9B%E9%87%8F%EF%BC%8C%E4%B8%8D%E6%87%88%E8%BF%BD%E6%B1%82%E5%93%81%E8%B4%A8%E3%80%82%E9%85%B5%E6%AF%8D%E8%9B%8B%E7%99%BD%E7%B3%BB%E5%88%97%E7%9A%84%E6%8E%A8%E5%87%BA
https://www.qyresearch.com/reports/6045373/yeast-protein-powder#:~:text=global%20key%20companies%20in%20the%20Yeast%20Protein%20Powder%20market%20include%20Lesaffre,%20Lallemand,%20AB%20Mauri,%20Nutreco,%20Alltech,%20DSM,%20Leiber,%20Biorigin,%20Angel%20Yeast,%20Zhuhai%20TXY%20Biotech
https://www.angelyeast.com/id/news/ye-savory/angel-yeast-redefines-taste-and-proteins-at-ifia.html#:~:text=featuring%20up%20to%2090%%20protein%20content,%20PDCAAS%201.0,%20and%20over%2021%%20branched-chain%20amino%20acids
https://usetorg.com/category/nutritional-yeast#:~:text=Bragg%20is%20a%20pioneer%20in%20organic%20health%20foods%20and%20wellness%20products,%20dedicated%20to%20providing%20high-quality,%20natural%20ingredients%20that%20promote%20health%20and%20vitality.%20With%20a%20focus%20on%20wholesome%20living,%20they%20offer%20a%20wide%20range%20of%20products,%20including%20apple%20cider%20vinegar,%20nutritional%20yeast</x:v>
      </x:c>
      <x:c r="T85" s="5" t="str">
        <x:v>www.angelyeast.com
epaper.cn3x.com.cn
life.china.com
www.qyresearch.com
www.angelyeast.com
usetorg.com</x:v>
      </x:c>
      <x:c r="U85" s="5" t="str">
        <x:v>是</x:v>
      </x:c>
      <x:c r="V85" s="5" t="str"/>
      <x:c r="W85" s="5" t="str">
        <x:v>https://www.kimi.com/chat/1a0e6e2f-7952-8051-8000-09cb36a3a504?chat_enter_method=new_chat</x:v>
      </x:c>
      <x:c r="X85" s="5" t="n">
        <x:v>6</x:v>
      </x:c>
      <x:c r="Y85" s="5" t="str">
        <x:v>否</x:v>
      </x:c>
    </x:row>
    <x:row r="86" ht="34" customHeight="1">
      <x:c r="A86" s="5" t="str">
        <x:v>Q5</x:v>
      </x:c>
      <x:c r="B86" s="5" t="str">
        <x:v>乳糖不耐受的人适合喝什么蛋白粉？</x:v>
      </x:c>
      <x:c r="C86" s="5" t="str">
        <x:v>需求解决</x:v>
      </x:c>
      <x:c r="D86" s="5" t="str">
        <x:v>Kimi</x:v>
      </x:c>
      <x:c r="E86" s="5" t="str">
        <x:v>自然</x:v>
      </x:c>
      <x:c r="F86" s="5" t="str">
        <x:v>2026/9/28 15:27:16</x:v>
      </x:c>
      <x:c r="G86" s="5" t="str">
        <x:v>有效</x:v>
      </x:c>
      <x:c r="H86" s="5" t="str">
        <x:v>乳糖不耐受者选蛋白粉，优先看乳糖含量，其次看蛋白质质量：
推荐顺序
分离乳清蛋白（Whey Isolate）
乳糖通常比浓缩乳清低，但不一定完全无乳糖。
轻度或中度不耐受的人，选择标注“低乳糖”或每份乳糖很少的，通常更合适。
最好先从半份开始试。
水解乳清蛋白（Whey Hydrolysate）
蛋白质更易消化，但水解不等于完全不含乳糖。
适合消化较弱、喝普通乳清容易腹胀的人，购买时仍要看营养标签。
植物蛋白粉
如豌豆蛋白、大豆蛋白、米蛋白，或豌豆＋米复配。
基本不含乳糖；豌豆/大豆蛋白的氨基酸质量通常较好。
选择豌豆＋米或多种植物复配，比单一植物蛋白更全面。
蛋清蛋白粉
不含乳糖，蛋白质质量高。
适合想避开乳制品、又能吃鸡蛋的人。
尽量少选
浓缩乳清蛋白（Whey Concentrate）：乳糖相对较多，容易引起腹胀、腹泻。
配料中含奶粉、乳固体、乳糖的产品。
把胶原蛋白粉当作主要蛋白补充：它氨基酸组成不完整，不适合作为唯一主要蛋白来源。
购买时直接看这几点
标注：无乳糖（Lactose-free） 或明确乳糖含量
配料表尽量短，避开乳糖、奶粉、植脂末和大量甜味剂
如果选择乳清，优先考虑分离乳清＞水解乳清＞浓缩乳清
如果你喝分离乳清仍会腹胀或腹泻，就直接选豌豆＋米复配蛋白或蛋清蛋白。另外，乳糖不耐受与牛奶蛋白过敏不同；若喝后出现皮疹、喘息、嘴唇肿胀等，应停用并及时就医。</x:v>
      </x:c>
      <x:c r="I86" s="5" t="str">
        <x:v>否</x:v>
      </x:c>
      <x:c r="J86" s="5" t="str"/>
      <x:c r="K86" s="5" t="str"/>
      <x:c r="L86" s="5" t="str"/>
      <x:c r="M86" s="5" t="str"/>
      <x:c r="N86" s="5" t="str">
        <x:v>类型建议或无品牌</x:v>
      </x:c>
      <x:c r="O86" s="5" t="str"/>
      <x:c r="P86" s="5" t="str"/>
      <x:c r="Q86" s="5" t="str"/>
      <x:c r="R86" s="5" t="str"/>
      <x:c r="S86" s="5" t="str"/>
      <x:c r="T86" s="5" t="str"/>
      <x:c r="U86" s="5" t="str">
        <x:v>否</x:v>
      </x:c>
      <x:c r="V86" s="5" t="str"/>
      <x:c r="W86" s="5" t="str">
        <x:v>https://www.kimi.com/chat/1a0e6e76-6ab2-84ff-8000-09cbc7627542?chat_enter_method=new_chat</x:v>
      </x:c>
      <x:c r="X86" s="5" t="n">
        <x:v>0</x:v>
      </x:c>
      <x:c r="Y86" s="5" t="str">
        <x:v>否</x:v>
      </x:c>
    </x:row>
    <x:row r="87" ht="34" customHeight="1">
      <x:c r="A87" s="5" t="str">
        <x:v>Q6</x:v>
      </x:c>
      <x:c r="B87" s="5" t="str">
        <x:v>喝乳清蛋白容易肚子不舒服，有什么其他蛋白粉可以选？</x:v>
      </x:c>
      <x:c r="C87" s="5" t="str">
        <x:v>需求解决</x:v>
      </x:c>
      <x:c r="D87" s="5" t="str">
        <x:v>Kimi</x:v>
      </x:c>
      <x:c r="E87" s="5" t="str">
        <x:v>自然</x:v>
      </x:c>
      <x:c r="F87" s="5" t="str">
        <x:v>2026/9/28 15:32:05</x:v>
      </x:c>
      <x:c r="G87" s="5" t="str">
        <x:v>有效</x:v>
      </x:c>
      <x:c r="H87" s="5" t="str">
        <x:v>喝乳清蛋白肚子不舒服，最常见的原因是乳糖不耐受（浓缩乳清里乳糖不少），少数人也可能是对牛奶蛋白敏感。可以按下面几个方向换：
1. 先别急着放弃乳清——换形态
分离乳清蛋白（Whey Isolate）：蛋白质纯度 90%+，乳糖含量很低，大部分乳糖不耐的人喝了没事。
水解乳清蛋白（Hydrolyzed Whey）：预先把蛋白"切碎"，更好消化，价格也更高。
2. 换成植物蛋白（乳糖过敏或乳清都难受的首选）
豌豆蛋白：氨基酸组成接近乳清，研究里增肌效果和乳清差距不大，性价比也高。
大豆蛋白：经典选择，含完整氨基酸，价格最便宜。
混合植物蛋白（豌豆+糙米+奇亚籽等）：几种植物搭配，氨基酸互补更完整。植物蛋白普遍口感偏"豆味"、溶解差一些，选有调味的产品更好入口。
3. 其他动物来源
蛋清蛋白（Egg White Protein）：乳糖为零，吸收速度不错，适合对奶类敏感但吃蛋没问题的人。
酪蛋白：也是牛奶蛋白，如果是对牛奶蛋白本身过敏（不只是乳糖），这个也不行。
实用建议
换分离乳清时，第一次先买小包装试喝，确认没问题再买大桶。
如果确定是乳糖问题，也可以试乳清+乳糖酶片。
喝的时候别空腹猛灌一大杯，用常温水或温水冲、分次喝，肠胃负担会小很多。
如果喝完出现皮疹、肿胀、呼吸困难这类症状，那可能是牛奶蛋白过敏，就别再试任何奶源蛋白了。
一般最省心的路径是：分离乳清 → 不行就豌豆蛋白或混合植物蛋白。需要的话我可以帮你比较几款市面上常见产品的配料和价格。</x:v>
      </x:c>
      <x:c r="I87" s="5" t="str">
        <x:v>否</x:v>
      </x:c>
      <x:c r="J87" s="5" t="str"/>
      <x:c r="K87" s="5" t="str"/>
      <x:c r="L87" s="5" t="str"/>
      <x:c r="M87" s="5" t="str"/>
      <x:c r="N87" s="5" t="str">
        <x:v>类型建议或无品牌</x:v>
      </x:c>
      <x:c r="O87" s="5" t="str"/>
      <x:c r="P87" s="5" t="str"/>
      <x:c r="Q87" s="5" t="str"/>
      <x:c r="R87" s="5" t="str"/>
      <x:c r="S87" s="5" t="str"/>
      <x:c r="T87" s="5" t="str"/>
      <x:c r="U87" s="5" t="str">
        <x:v>否</x:v>
      </x:c>
      <x:c r="V87" s="5" t="str"/>
      <x:c r="W87" s="5" t="str">
        <x:v>https://www.kimi.com/chat/1a0e6ed5-46a2-8d30-8000-09cb3f85500a?chat_enter_method=new_chat</x:v>
      </x:c>
      <x:c r="X87" s="5" t="n">
        <x:v>0</x:v>
      </x:c>
      <x:c r="Y87" s="5" t="str">
        <x:v>否</x:v>
      </x:c>
    </x:row>
    <x:row r="88" ht="34" customHeight="1">
      <x:c r="A88" s="5" t="str">
        <x:v>Q7</x:v>
      </x:c>
      <x:c r="B88" s="5" t="str">
        <x:v>健身新手应该买什么蛋白粉？</x:v>
      </x:c>
      <x:c r="C88" s="5" t="str">
        <x:v>需求解决</x:v>
      </x:c>
      <x:c r="D88" s="5" t="str">
        <x:v>Kimi</x:v>
      </x:c>
      <x:c r="E88" s="5" t="str">
        <x:v>自然</x:v>
      </x:c>
      <x:c r="F88" s="5" t="str">
        <x:v>2026/9/28 15:32:25</x:v>
      </x:c>
      <x:c r="G88" s="5" t="str">
        <x:v>有效</x:v>
      </x:c>
      <x:c r="H88" s="5" t="str">
        <x:v>先给你一个最重要的结论：蛋白粉不是必须的，饮食够的话不用买。先算算自己每天从肉、蛋、奶、豆里吃到的蛋白质够不够（健身人群大致每公斤体重 1.2–2 克），不够再考虑补。
如果确实要买，新手建议这样选：
1. 首选：浓缩乳清蛋白（Whey Concentrate）
性价比高，吸收快，最适合大多数人
增肌粉（增重粉）不要买，那主要是碳水，新手很容易喝成长胖
2. 看配料表和蛋白质含量
蛋白质含量≥70% 比较合格（即每100g粉含70g以上蛋白质）
配料越短越好，第一位应该是乳清蛋白，糖和植脂末越少越好
有 Informed Choice、NSF 等第三方认证更安心
3. 按身体情况选
乳糖不耐受、喝了拉肚子 → 选分离乳清（Isolate）或水解乳清
素食者 → 豌豆蛋白或大豆蛋白
4. 口味和溶解度
新手建议先买小包装试喝，巧克力/香草最不容易踩雷；溶解度差的粉喝着很痛苦
常见靠谱品牌：ON（奥普帝蒙）、MuscleTech（肌肉科技）、Dymatize（狄马泰斯）、康比特（国产）等，从官方旗舰店买，别贪便宜买到假货。
用法：训练后30分钟内或随餐补充一勺（约20–25g蛋白质）即可，用牛奶或水冲都行。记住粉只是"方便的蛋白质"，练好、睡好、吃够整体热量才是关键。
需要的话，我可以帮你按你的体重和预算算一下每天该吃多少蛋白质、买哪款更划算。</x:v>
      </x:c>
      <x:c r="I88" s="5" t="str">
        <x:v>否</x:v>
      </x:c>
      <x:c r="J88" s="5" t="str"/>
      <x:c r="K88" s="5" t="str"/>
      <x:c r="L88" s="5" t="str"/>
      <x:c r="M88" s="5" t="str">
        <x:v>康比特、ON/欧普特蒙、肌肉科技、狄马泰斯</x:v>
      </x:c>
      <x:c r="N88" s="5" t="str">
        <x:v>品牌提及/类型说明</x:v>
      </x:c>
      <x:c r="O88" s="5" t="str"/>
      <x:c r="P88" s="5" t="str"/>
      <x:c r="Q88" s="5" t="str"/>
      <x:c r="R88" s="5" t="str"/>
      <x:c r="S88" s="5" t="str"/>
      <x:c r="T88" s="5" t="str"/>
      <x:c r="U88" s="5" t="str">
        <x:v>否</x:v>
      </x:c>
      <x:c r="V88" s="5" t="str"/>
      <x:c r="W88" s="5" t="str">
        <x:v>https://www.kimi.com/chat/1a0e6ed9-9542-85f6-8000-09cb2682bb15?chat_enter_method=new_chat</x:v>
      </x:c>
      <x:c r="X88" s="5" t="n">
        <x:v>0</x:v>
      </x:c>
      <x:c r="Y88" s="5" t="str">
        <x:v>否</x:v>
      </x:c>
    </x:row>
    <x:row r="89" ht="34" customHeight="1">
      <x:c r="A89" s="5" t="str">
        <x:v>Q8</x:v>
      </x:c>
      <x:c r="B89" s="5" t="str">
        <x:v>增肌训练喝什么蛋白粉比较合适？</x:v>
      </x:c>
      <x:c r="C89" s="5" t="str">
        <x:v>需求解决</x:v>
      </x:c>
      <x:c r="D89" s="5" t="str">
        <x:v>Kimi</x:v>
      </x:c>
      <x:c r="E89" s="5" t="str">
        <x:v>自然</x:v>
      </x:c>
      <x:c r="F89" s="5" t="str">
        <x:v>2026/9/28 15:32:41</x:v>
      </x:c>
      <x:c r="G89" s="5" t="str">
        <x:v>有效</x:v>
      </x:c>
      <x:c r="H89" s="5" t="str">
        <x:v>增肌选蛋白粉，核心看三点：蛋白质含量高、氨基酸组成完整（尤其亮氨酸）、自己能消化吸收。常见选择如下：
1. 乳清蛋白（首选，大多数人适用）
浓缩乳清（WPC）：性价比最高，蛋白质含量约70-80%，含少量乳糖和脂肪。适合大多数增肌人群。
分离乳清（WPI）：蛋白质含量90%以上，乳糖极少。适合乳糖不耐受或备赛期控脂控碳的人，价格更高。
水解乳清（WPH）：预消化，吸收最快，但贵且苦，一般只推荐给肠胃特别敏感或有特殊需求的人。
2. 酪蛋白（缓释）
吸收慢（4-6小时），适合睡前喝，夜间持续供氨基酸，减少肌肉分解。常与乳清搭配使用。
3. 植物蛋白
豌豆蛋白、大豆蛋白为主。大豆蛋白是植物蛋白中氨基酸最全的。适合纯素或乳糖严重不耐的人，但增肌效率一般略逊于乳清。
实用建议：
新手/预算有限：直接买浓缩乳清即可，差别没有价格差那么大。
乳糖不耐：换分离乳清或植物蛋白，别硬扛浓缩。
用量：每天每公斤体重1.6-2.2克蛋白质（包括食物中的），训练后30分钟内补充20-40克乳清是常见做法，但一天总量比时机更重要。
选购看配料表：优先选配料短、蛋白质含量高的（&gt;75%），避免添加糖、植脂末过多的"蛋白饮料"。
别忘了基础：蛋白粉只是方便补剂，日常饮食里的鸡蛋、鸡胸、牛奶、鱼虾才是主力；睡够觉、 progressive overload（渐进超负荷训练）才是增肌的根本。
另外提醒一句：如果本身有肾脏疾病或尿酸问题，建议先咨询医生再决定蛋白摄入量。</x:v>
      </x:c>
      <x:c r="I89" s="5" t="str">
        <x:v>否</x:v>
      </x:c>
      <x:c r="J89" s="5" t="str"/>
      <x:c r="K89" s="5" t="str"/>
      <x:c r="L89" s="5" t="str"/>
      <x:c r="M89" s="5" t="str"/>
      <x:c r="N89" s="5" t="str">
        <x:v>类型建议或无品牌</x:v>
      </x:c>
      <x:c r="O89" s="5" t="str"/>
      <x:c r="P89" s="5" t="str"/>
      <x:c r="Q89" s="5" t="str"/>
      <x:c r="R89" s="5" t="str"/>
      <x:c r="S89" s="5" t="str"/>
      <x:c r="T89" s="5" t="str"/>
      <x:c r="U89" s="5" t="str">
        <x:v>否</x:v>
      </x:c>
      <x:c r="V89" s="5" t="str"/>
      <x:c r="W89" s="5" t="str">
        <x:v>https://www.kimi.com/chat/1a0e6ede-74b2-83b4-8000-09cbd85e2470?chat_enter_method=new_chat</x:v>
      </x:c>
      <x:c r="X89" s="5" t="n">
        <x:v>0</x:v>
      </x:c>
      <x:c r="Y89" s="5" t="str">
        <x:v>否</x:v>
      </x:c>
    </x:row>
    <x:row r="90" ht="34" customHeight="1">
      <x:c r="A90" s="5" t="str">
        <x:v>Q9</x:v>
      </x:c>
      <x:c r="B90" s="5" t="str">
        <x:v>100元左右有什么蛋白粉推荐？</x:v>
      </x:c>
      <x:c r="C90" s="5" t="str">
        <x:v>购买推荐</x:v>
      </x:c>
      <x:c r="D90" s="5" t="str">
        <x:v>Kimi</x:v>
      </x:c>
      <x:c r="E90" s="5" t="str">
        <x:v>自然</x:v>
      </x:c>
      <x:c r="F90" s="5" t="str">
        <x:v>2026/9/28 15:34:17</x:v>
      </x:c>
      <x:c r="G90" s="5" t="str">
        <x:v>有效</x:v>
      </x:c>
      <x:c r="H90" s="5" t="str">
        <x:v>100元这个预算属于入门档，买不到大桶装进口粉（ON、肌肉科技5磅装普遍要300元上下），但可以买到国产高性价比的小规格产品。根据你的用途，推荐思路不太一样：
健身增肌用（重点看蛋白含量）
诺特兰德（Nutrend）乳清蛋白粉：国产运动营养老牌，百元内能买到入门装，口味选择多，但注意它的蛋白含量偏低（约22g/100g），配料里有额外添加成分，胜在便宜好入口
BD乳清蛋白粉：蛋白含量75%，配料干净，溶解度好，性价比口碑不错，不过5磅装要200多元，可以趁活动买小规格或蹲促销
元气码头乳清蛋白粉：百元价位实测口碑不错，蛋白含量和配料诚意都在线，还添加了益生菌，对肠胃友好
日常营养补充用（不健身也可以喝）
汤臣倍健、康比特这类国产大牌的基础款，100元左右有小罐装，品控稳定，适合只是饮食蛋白摄入不足想补一补的人
两个实用提醒
买之前翻到配料表和营养成分表，优先选蛋白质含量≥70%的，有些"蛋白粉"其实是固体饮料，蛋白含量很低；
100元档尽量在京东/天猫旗舰店或官方自营买，1688上那种十几块一罐的"蛋白粉"多为贴牌货，不建议入口
顺便说一句：如果纯粹是为了补蛋白、不健身，鸡蛋和牛奶的单位蛋白成本其实比蛋白粉还低，100块预算吃一个月鸡蛋也够了——蛋白粉真正的优势是健身后快速补充方便
你是健身用还是日常补充？我可以帮你把范围再收窄一点。</x:v>
      </x:c>
      <x:c r="I90" s="5" t="str">
        <x:v>否</x:v>
      </x:c>
      <x:c r="J90" s="5" t="str"/>
      <x:c r="K90" s="5" t="str"/>
      <x:c r="L90" s="5" t="str"/>
      <x:c r="M90" s="5" t="str">
        <x:v>BD能量、元气码头、康比特、诺特兰德、汤臣倍健、ON/欧普特蒙、肌肉科技</x:v>
      </x:c>
      <x:c r="N90" s="5" t="str">
        <x:v>品牌提及/类型说明</x:v>
      </x:c>
      <x:c r="O90" s="5" t="str"/>
      <x:c r="P90" s="5" t="str"/>
      <x:c r="Q90" s="5" t="str"/>
      <x:c r="R90" s="5" t="str"/>
      <x:c r="S90" s="5" t="str"/>
      <x:c r="T90" s="5" t="str"/>
      <x:c r="U90" s="5" t="str">
        <x:v>否</x:v>
      </x:c>
      <x:c r="V90" s="5" t="str"/>
      <x:c r="W90" s="5" t="str">
        <x:v>https://www.kimi.com/chat/1a0e6ee2-5bf2-8714-8000-09cb532c971e?chat_enter_method=new_chat</x:v>
      </x:c>
      <x:c r="X90" s="5" t="n">
        <x:v>0</x:v>
      </x:c>
      <x:c r="Y90" s="5" t="str">
        <x:v>否</x:v>
      </x:c>
    </x:row>
    <x:row r="91" ht="34" customHeight="1">
      <x:c r="A91" s="5" t="str">
        <x:v>Q10</x:v>
      </x:c>
      <x:c r="B91" s="5" t="str">
        <x:v>性价比高的蛋白粉有哪些？</x:v>
      </x:c>
      <x:c r="C91" s="5" t="str">
        <x:v>购买推荐</x:v>
      </x:c>
      <x:c r="D91" s="5" t="str">
        <x:v>Kimi</x:v>
      </x:c>
      <x:c r="E91" s="5" t="str">
        <x:v>自然</x:v>
      </x:c>
      <x:c r="F91" s="5" t="str">
        <x:v>2026/9/28 15:34:59</x:v>
      </x:c>
      <x:c r="G91" s="5" t="str">
        <x:v>有效</x:v>
      </x:c>
      <x:c r="H91" s="5" t="str">
        <x:v>查完了，先给你一个重要提醒：网上大量"2026蛋白粉十大排名"其实是软文广告（比如某些榜单里反复出现的"维力维""木诺康""潘海威元""益臣康"这类品牌，多篇文章互相矛盾、数据雷同，基本可判定为营销内容），不建议参考。真正常年被健身圈认可、性价比扎实的是下面这些：
健身/运动人群（乳清蛋白粉）
ON（欧普特蒙）金标乳清：经典老牌，每份约24g蛋白质，品控稳定。在台湾美式卖场大包装折算下来每份约25元新台币，被明确推荐"给有预算考量的人"
ALLMAX 全乳清：浓缩+分离混合，每份30g蛋白质，被健身教练榜单评为"最佳便宜乳清蛋白粉"，每批有实验室检测
康比特：国产品牌，蛋白含量超75%，服务专业运动队，"性价比突出，品控稳定"，适合入门和学生党
诺特兰德：浓缩+分离复配，每份约22g蛋白质，"定价亲民，入门门槛低"
Myprotein（熊猫粉）：欧洲品牌，每份25g蛋白质，口味极多，大促时（双11/618）单位蛋白价格经常是全行业最低之一
怎么算性价比（关键方法）
性价比不看单价，看单位蛋白成本 = 价格 ÷ (每份蛋白克数 × 份数)。一般来说：
浓缩乳清（WPC）最便宜，每100g含蛋白约75–80g，适合大多数人和乳糖耐受者
分离乳清（WPI）纯度90%+，更贵，适合乳糖不耐或备赛控脂人群
水解乳清最贵，普通人没必要
避坑要点
看配料表第一位必须是"乳清蛋白"，避开麦芽糊精、植脂末、白砂糖排前面的
蛋白粉虚标严重，有测评显示60款样品中18款实测蛋白不足标称值的70%被淘汰
进口大牌（ON、ALLMAX）在大促时囤5磅装最划算；国产的康比特、诺特兰德日常价就不错
如果你说一下自己的用途（增肌/减脂代餐/中老年人日常补充/乳糖是否耐受）和预算，我可以帮你把范围缩到2–3款。</x:v>
      </x:c>
      <x:c r="I91" s="5" t="str">
        <x:v>否</x:v>
      </x:c>
      <x:c r="J91" s="5" t="str"/>
      <x:c r="K91" s="5" t="str"/>
      <x:c r="L91" s="5" t="str"/>
      <x:c r="M91" s="5" t="str">
        <x:v>康比特、诺特兰德、潘海威元、Myprotein、ON/欧普特蒙、ALLMAX</x:v>
      </x:c>
      <x:c r="N91" s="5" t="str">
        <x:v>品牌提及/类型说明</x:v>
      </x:c>
      <x:c r="O91" s="5" t="str"/>
      <x:c r="P91" s="5" t="str"/>
      <x:c r="Q91" s="5" t="str"/>
      <x:c r="R91" s="5" t="str">
        <x:v>
</x:v>
      </x:c>
      <x:c r="S91" s="5" t="str">
        <x:v>https://www.womenshealthmag.com/tw/food-nutrition/diet/g32888260/2020-whey-protein-recommend/#:~:text=%E4%B8%80%E4%BB%BD%E4%B9%B3%E6%B8%85%E8%9B%8B%E7%99%BD%E9%99%A4%E4%B8%8B%E4%BE%86%E7%9A%84%E9%87%91%E9%A1%8D%E7%B4%8425%E5%85%83%EF%BC%8C%E6%8E%A8%E8%96%A6%E7%B5%A6%E6%9C%89%E9%A0%90%E7%AE%97%E8%80%83%E9%87%8F%E7%9A%84%E4%BA%BA
https://gymbeastics.com/protein-recommendation/
https://asp123.bioon.com.cn/article/25823008882f#:~:text=%E4%BA%A7%E5%93%81%E6%80%A7%E4%BB%B7%E6%AF%94%E7%AA%81%E5%87%BA%EF%BC%8C%E5%93%81%E6%8E%A7%E7%A8%B3%E5%AE%9A%E5%8F%AF%E9%9D%A0%EF%BC%8C%E6%98%AF%E5%9B%BD%E5%86%85%E5%81%A5%E8%BA%AB%E5%85%A5%E9%97%A8%E4%BA%BA%E7%BE%A4%E4%B8%8E%E5%AD%A6%E7%94%9F%E7%BE%A4%E4%BD%93%E7%9A%84%E7%83%AD%E9%97%A8%E9%80%89%E6%8B%A9
https://asp123.bioon.com.cn/article/25823008882f#:~:text=%E5%AE%9A%E4%BB%B7%E4%BA%B2%E6%B0%91%EF%BC%8C%E5%85%A5%E9%97%A8%E9%97%A8%E6%A7%9B%E4%BD%8E%EF%BC%8C%E9%80%82%E5%90%88%E9%A2%84%E7%AE%97%E6%9C%89%E9%99%90%E3%80%81%E6%9C%89%E5%9F%BA%E7%A1%80%E8%9B%8B%E7%99%BD%E8%A1%A5%E5%85%85%E9%9C%80%E6%B1%82%E7%9A%84%E6%B6%88%E8%B4%B9%E8%80%85
https://asp123.bioon.com.cn/article/25823008882f#:~:text=Myprotein%E4%BB%A5%E9%AB%98%E6%80%A7%E4%BB%B7%E6%AF%94%E4%B8%8E%E4%B8%B0%E5%AF%8C%E9%80%89%E6%8B%A9%E4%BA%AB%E8%AA%89%E5%85%A8%E7%90%83%EF%BC%8C%E9%87%87%E7%94%A8%E6%AC%A7%E6%B4%B2%E4%BC%98%E8%B4%A8%E8%8D%89%E9%A5%B2%E5%A5%B6%E6%BA%90%E6%8F%90%E7%82%BC%E6%B5%93%E7%BC%A9%E4%B9%B3%E6%B8%85%E8%9B%8B%E7%99%BD%EF%BC%8C%E6%AF%8F%E4%BB%BD%E6%8F%90%E4%BE%9B25%E5%85%8B%E4%BC%98%E8%B4%A8%E8%9B%8B%E7%99%BD%E8%B4%A8%EF%BC%8C%E8%9B%8B%E7%99%BD%E7%BA%AF%E5%BA%A6%E6%89%8E%E5%AE%9E%E7%A8%B3%E5%AE%9A%EF%BC%8C%E6%8B%A5%E6%9C%89%E6%95%B0%E5%8D%81%E7%A7%8D%E5%8F%A3%E5%91%B3%E5%8F%AF%E9%80%89%EF%BC%8C%E8%A6%86%E7%9B%96%E7%BB%8F%E5%85%B8%E5%8E%9F%E5%91%B3%E4%B8%8E%E5%90%84%E5%BC%8F%E5%88%9B%E6%84%8F%E9%A3%8E%E5%91%B3%EF%BC%8C%E7%AC%A6%E5%90%88%E6%AC%A7%E7%9B%9F%E9%A3%9F%E5%93%81%E5%AE%89%E5%85%A8%E7%94%9F%E4%BA%A7%E6%A0%87%E5%87%86%EF%BC%8C%E5%AE%9A%E4%BB%B7%E4%BA%B2%E6%B0%91%E9%97%A8%E6%A7%9B%E4%BD%8E%EF%BC%8C%E6%98%AF%E6%97%A5%E5%B8%B8%E5%9F%BA%E7%A1%80%E8%9B%8B%E7%99%BD%E8%A1%A5%E5%85%85%E4%B8%8E%E8%BD%BB%E5%81%A5%E8%BA%AB%E4%BA%BA%E7%BE%A4%E7%9A%84%E7%83%AD%E9%97%A8%E9%80%89%E6%8B%A9
https://m.163.com/tech/article/KRUKCHKT0534B74O.html#:~:text=18%E6%AC%BE%E5%9B%A0%E8%9B%8B%E7%99%BD%E8%B4%A8%E5%90%AB%E9%87%8F%E8%99%9A%E6%A0%87%EF%BC%88%E5%AE%9E%E6%B5%8B%E5%80%BC%E4%B8%8D%E8%B6%B3%E6%A0%87%E7%A7%B0%E5%80%BC%E7%9A%8470%%EF%BC%89%E8%A2%AB%E6%B7%98%E6%B1%B0</x:v>
      </x:c>
      <x:c r="T91" s="5" t="str">
        <x:v>www.womenshealthmag.com
gymbeastics.com
asp123.bioon.com.cn
asp123.bioon.com.cn
asp123.bioon.com.cn
m.163.com</x:v>
      </x:c>
      <x:c r="U91" s="5" t="str">
        <x:v>是</x:v>
      </x:c>
      <x:c r="V91" s="5" t="str"/>
      <x:c r="W91" s="5" t="str">
        <x:v>https://www.kimi.com/chat/1a0e6ef9-d742-89e8-8000-09cb5757540f?chat_enter_method=new_chat</x:v>
      </x:c>
      <x:c r="X91" s="5" t="n">
        <x:v>6</x:v>
      </x:c>
      <x:c r="Y91" s="5" t="str">
        <x:v>否</x:v>
      </x:c>
    </x:row>
    <x:row r="92" ht="34" customHeight="1">
      <x:c r="A92" s="5" t="str">
        <x:v>Q11</x:v>
      </x:c>
      <x:c r="B92" s="5" t="str">
        <x:v>国产蛋白粉哪个牌子值得买？</x:v>
      </x:c>
      <x:c r="C92" s="5" t="str">
        <x:v>购买推荐</x:v>
      </x:c>
      <x:c r="D92" s="5" t="str">
        <x:v>Kimi</x:v>
      </x:c>
      <x:c r="E92" s="5" t="str">
        <x:v>自然</x:v>
      </x:c>
      <x:c r="F92" s="5" t="str">
        <x:v>2026/9/28 15:35:33</x:v>
      </x:c>
      <x:c r="G92" s="5" t="str">
        <x:v>有效</x:v>
      </x:c>
      <x:c r="H92" s="5" t="str">
        <x:v>先提醒一句：现在网上搜"国产蛋白粉排行榜"，前排大多是软文推广（比如反复出现的"潘海威元""仲春和""Uipre"这类，同一套文案铺满低质网站，数据雷同，基本可以判定是付费推广，不建议参考）。
真正口碑和资历比较扎实的国产牌子，可以按用途这样选：
健身增肌（乳清蛋白）
康比特（CPT）：国内运动营养老牌，给国家队供货，型号多（炽金、分离乳清等系列），品控稳定，健身圈认可度最高。
紫光优健（UN OMG）：近年国产里口碑很好的专业线，原料透明、性价比高，很多健身博主实测推荐。
诺特兰德：电商销量大、口味多、便宜，适合预算有限的入门者；注意不同版本配方差异大，买前看配料表。
京东京造/马泰时刻：大平台自有品牌或新锐品牌，性价比路线。
日常营养补充、送长辈（保健类）
汤臣倍健：有"蓝帽"保健食品认证，主打增强免疫力，线下药店好买，适合中老年人。
江中、安琪纽特：偏家庭日常营养，动植物蛋白复配，口感温和。
选购时比品牌更重要的三件事：
看营养成分表，每100g里蛋白质≥70g才算合格的运动乳清，低于60g的大多是"蛋白饮料"；
健身选乳清/分离乳清，乳糖不耐受选分离乳清；给长辈补营养选有蓝帽认证的；
算"每克蛋白质单价"而不是看一桶多少钱。
简单结论：健身增肌优先康比特、紫光优健；家里老人日常补充选汤臣倍健这类蓝帽产品；预算紧可以看看诺特兰德或京东京造。</x:v>
      </x:c>
      <x:c r="I92" s="5" t="str">
        <x:v>否</x:v>
      </x:c>
      <x:c r="J92" s="5" t="str"/>
      <x:c r="K92" s="5" t="str"/>
      <x:c r="L92" s="5" t="str"/>
      <x:c r="M92" s="5" t="str">
        <x:v>安琪纽特、京东京造、康比特、诺特兰德、汤臣倍健、马泰时刻、紫光优健、潘海威元</x:v>
      </x:c>
      <x:c r="N92" s="5" t="str">
        <x:v>品牌提及/类型说明</x:v>
      </x:c>
      <x:c r="O92" s="5" t="str"/>
      <x:c r="P92" s="5" t="str"/>
      <x:c r="Q92" s="5" t="str"/>
      <x:c r="R92" s="5" t="str"/>
      <x:c r="S92" s="5" t="str"/>
      <x:c r="T92" s="5" t="str"/>
      <x:c r="U92" s="5" t="str">
        <x:v>否</x:v>
      </x:c>
      <x:c r="V92" s="5" t="str"/>
      <x:c r="W92" s="5" t="str">
        <x:v>https://www.kimi.com/chat/1a0e6f04-0232-833c-8000-09cbf3315a90?chat_enter_method=new_chat</x:v>
      </x:c>
      <x:c r="X92" s="5" t="n">
        <x:v>0</x:v>
      </x:c>
      <x:c r="Y92" s="5" t="str">
        <x:v>否</x:v>
      </x:c>
    </x:row>
    <x:row r="93" ht="34" customHeight="1">
      <x:c r="A93" s="5" t="str">
        <x:v>Q12</x:v>
      </x:c>
      <x:c r="B93" s="5" t="str">
        <x:v>学生党健身适合买什么蛋白粉？</x:v>
      </x:c>
      <x:c r="C93" s="5" t="str">
        <x:v>购买推荐</x:v>
      </x:c>
      <x:c r="D93" s="5" t="str">
        <x:v>Kimi</x:v>
      </x:c>
      <x:c r="E93" s="5" t="str">
        <x:v>自然</x:v>
      </x:c>
      <x:c r="F93" s="5" t="str">
        <x:v>2026/9/28 15:44:02</x:v>
      </x:c>
      <x:c r="G93" s="5" t="str">
        <x:v>未取得回答</x:v>
      </x:c>
      <x:c r="H93" s="5" t="str"/>
      <x:c r="I93" s="5" t="str">
        <x:v>未取得回答</x:v>
      </x:c>
      <x:c r="J93" s="5" t="str"/>
      <x:c r="K93" s="5" t="str"/>
      <x:c r="L93" s="5" t="str"/>
      <x:c r="M93" s="5" t="str"/>
      <x:c r="N93" s="5" t="str">
        <x:v>类型建议或无品牌</x:v>
      </x:c>
      <x:c r="O93" s="5" t="str"/>
      <x:c r="P93" s="5" t="str"/>
      <x:c r="Q93" s="5" t="str"/>
      <x:c r="R93" s="5" t="str"/>
      <x:c r="S93" s="5" t="str"/>
      <x:c r="T93" s="5" t="str"/>
      <x:c r="U93" s="5" t="str">
        <x:v>未识别</x:v>
      </x:c>
      <x:c r="V93" s="5" t="str">
        <x:v>重试仍显示：和Kimi聊天的人太多了，订阅会员可进入优先队列</x:v>
      </x:c>
      <x:c r="W93" s="5" t="str"/>
      <x:c r="X93" s="5" t="n">
        <x:v>0</x:v>
      </x:c>
      <x:c r="Y93" s="5" t="str">
        <x:v>否</x:v>
      </x:c>
    </x:row>
    <x:row r="94" ht="34" customHeight="1">
      <x:c r="A94" s="5" t="str">
        <x:v>Q13</x:v>
      </x:c>
      <x:c r="B94" s="5" t="str">
        <x:v>有没有比较好喝、容易坚持喝的蛋白粉推荐？</x:v>
      </x:c>
      <x:c r="C94" s="5" t="str">
        <x:v>购买推荐</x:v>
      </x:c>
      <x:c r="D94" s="5" t="str">
        <x:v>Kimi</x:v>
      </x:c>
      <x:c r="E94" s="5" t="str">
        <x:v>自然</x:v>
      </x:c>
      <x:c r="F94" s="5" t="str">
        <x:v>2026/9/28 15:44:02</x:v>
      </x:c>
      <x:c r="G94" s="5" t="str">
        <x:v>未取得回答</x:v>
      </x:c>
      <x:c r="H94" s="5" t="str"/>
      <x:c r="I94" s="5" t="str">
        <x:v>未取得回答</x:v>
      </x:c>
      <x:c r="J94" s="5" t="str"/>
      <x:c r="K94" s="5" t="str"/>
      <x:c r="L94" s="5" t="str"/>
      <x:c r="M94" s="5" t="str"/>
      <x:c r="N94" s="5" t="str">
        <x:v>类型建议或无品牌</x:v>
      </x:c>
      <x:c r="O94" s="5" t="str"/>
      <x:c r="P94" s="5" t="str"/>
      <x:c r="Q94" s="5" t="str"/>
      <x:c r="R94" s="5" t="str"/>
      <x:c r="S94" s="5" t="str"/>
      <x:c r="T94" s="5" t="str"/>
      <x:c r="U94" s="5" t="str">
        <x:v>未识别</x:v>
      </x:c>
      <x:c r="V94" s="5" t="str">
        <x:v>平台持续提示繁忙；按用户规则跳过，未提交</x:v>
      </x:c>
      <x:c r="W94" s="5" t="str"/>
      <x:c r="X94" s="5" t="n">
        <x:v>0</x:v>
      </x:c>
      <x:c r="Y94" s="5" t="str">
        <x:v>否</x:v>
      </x:c>
    </x:row>
    <x:row r="95" ht="34" customHeight="1">
      <x:c r="A95" s="5" t="str">
        <x:v>Q14</x:v>
      </x:c>
      <x:c r="B95" s="5" t="str">
        <x:v>酵母蛋白粉哪个牌子比较好？</x:v>
      </x:c>
      <x:c r="C95" s="5" t="str">
        <x:v>品牌竞争</x:v>
      </x:c>
      <x:c r="D95" s="5" t="str">
        <x:v>Kimi</x:v>
      </x:c>
      <x:c r="E95" s="5" t="str">
        <x:v>自然</x:v>
      </x:c>
      <x:c r="F95" s="5" t="str">
        <x:v>2026/9/28 15:44:02</x:v>
      </x:c>
      <x:c r="G95" s="5" t="str">
        <x:v>未取得回答</x:v>
      </x:c>
      <x:c r="H95" s="5" t="str"/>
      <x:c r="I95" s="5" t="str">
        <x:v>未取得回答</x:v>
      </x:c>
      <x:c r="J95" s="5" t="str"/>
      <x:c r="K95" s="5" t="str"/>
      <x:c r="L95" s="5" t="str"/>
      <x:c r="M95" s="5" t="str"/>
      <x:c r="N95" s="5" t="str">
        <x:v>类型建议或无品牌</x:v>
      </x:c>
      <x:c r="O95" s="5" t="str"/>
      <x:c r="P95" s="5" t="str"/>
      <x:c r="Q95" s="5" t="str"/>
      <x:c r="R95" s="5" t="str"/>
      <x:c r="S95" s="5" t="str"/>
      <x:c r="T95" s="5" t="str"/>
      <x:c r="U95" s="5" t="str">
        <x:v>未识别</x:v>
      </x:c>
      <x:c r="V95" s="5" t="str">
        <x:v>平台持续提示繁忙；按用户规则跳过，未提交</x:v>
      </x:c>
      <x:c r="W95" s="5" t="str"/>
      <x:c r="X95" s="5" t="n">
        <x:v>0</x:v>
      </x:c>
      <x:c r="Y95" s="5" t="str">
        <x:v>否</x:v>
      </x:c>
    </x:row>
    <x:row r="96" ht="34" customHeight="1">
      <x:c r="A96" s="5" t="str">
        <x:v>Q15</x:v>
      </x:c>
      <x:c r="B96" s="5" t="str">
        <x:v>国产运动营养品牌有哪些值得关注？</x:v>
      </x:c>
      <x:c r="C96" s="5" t="str">
        <x:v>品牌竞争</x:v>
      </x:c>
      <x:c r="D96" s="5" t="str">
        <x:v>Kimi</x:v>
      </x:c>
      <x:c r="E96" s="5" t="str">
        <x:v>自然</x:v>
      </x:c>
      <x:c r="F96" s="5" t="str">
        <x:v>2026/9/28 15:44:02</x:v>
      </x:c>
      <x:c r="G96" s="5" t="str">
        <x:v>未取得回答</x:v>
      </x:c>
      <x:c r="H96" s="5" t="str"/>
      <x:c r="I96" s="5" t="str">
        <x:v>未取得回答</x:v>
      </x:c>
      <x:c r="J96" s="5" t="str"/>
      <x:c r="K96" s="5" t="str"/>
      <x:c r="L96" s="5" t="str"/>
      <x:c r="M96" s="5" t="str"/>
      <x:c r="N96" s="5" t="str">
        <x:v>类型建议或无品牌</x:v>
      </x:c>
      <x:c r="O96" s="5" t="str"/>
      <x:c r="P96" s="5" t="str"/>
      <x:c r="Q96" s="5" t="str"/>
      <x:c r="R96" s="5" t="str"/>
      <x:c r="S96" s="5" t="str"/>
      <x:c r="T96" s="5" t="str"/>
      <x:c r="U96" s="5" t="str">
        <x:v>未识别</x:v>
      </x:c>
      <x:c r="V96" s="5" t="str">
        <x:v>平台持续提示繁忙；按用户规则跳过，未提交</x:v>
      </x:c>
      <x:c r="W96" s="5" t="str"/>
      <x:c r="X96" s="5" t="n">
        <x:v>0</x:v>
      </x:c>
      <x:c r="Y96" s="5" t="str">
        <x:v>否</x:v>
      </x:c>
    </x:row>
    <x:row r="97" ht="34" customHeight="1">
      <x:c r="A97" s="5" t="str">
        <x:v>Q16</x:v>
      </x:c>
      <x:c r="B97" s="5" t="str">
        <x:v>除了乳清蛋白，还有哪些适合健身人群的蛋白来源？</x:v>
      </x:c>
      <x:c r="C97" s="5" t="str">
        <x:v>品牌竞争</x:v>
      </x:c>
      <x:c r="D97" s="5" t="str">
        <x:v>Kimi</x:v>
      </x:c>
      <x:c r="E97" s="5" t="str">
        <x:v>自然</x:v>
      </x:c>
      <x:c r="F97" s="5" t="str">
        <x:v>2026/9/28 15:44:02</x:v>
      </x:c>
      <x:c r="G97" s="5" t="str">
        <x:v>未取得回答</x:v>
      </x:c>
      <x:c r="H97" s="5" t="str"/>
      <x:c r="I97" s="5" t="str">
        <x:v>未取得回答</x:v>
      </x:c>
      <x:c r="J97" s="5" t="str"/>
      <x:c r="K97" s="5" t="str"/>
      <x:c r="L97" s="5" t="str"/>
      <x:c r="M97" s="5" t="str"/>
      <x:c r="N97" s="5" t="str">
        <x:v>类型建议或无品牌</x:v>
      </x:c>
      <x:c r="O97" s="5" t="str"/>
      <x:c r="P97" s="5" t="str"/>
      <x:c r="Q97" s="5" t="str"/>
      <x:c r="R97" s="5" t="str"/>
      <x:c r="S97" s="5" t="str"/>
      <x:c r="T97" s="5" t="str"/>
      <x:c r="U97" s="5" t="str">
        <x:v>未识别</x:v>
      </x:c>
      <x:c r="V97" s="5" t="str">
        <x:v>平台持续提示繁忙；按用户规则跳过，未提交</x:v>
      </x:c>
      <x:c r="W97" s="5" t="str"/>
      <x:c r="X97" s="5" t="n">
        <x:v>0</x:v>
      </x:c>
      <x:c r="Y97" s="5" t="str">
        <x:v>否</x:v>
      </x:c>
    </x:row>
    <x:row r="98" ht="34" customHeight="1">
      <x:c r="A98" s="5" t="str">
        <x:v>Q17</x:v>
      </x:c>
      <x:c r="B98" s="5" t="str">
        <x:v>怡可纳是什么品牌？</x:v>
      </x:c>
      <x:c r="C98" s="5" t="str">
        <x:v>主动认知</x:v>
      </x:c>
      <x:c r="D98" s="5" t="str">
        <x:v>Kimi</x:v>
      </x:c>
      <x:c r="E98" s="5" t="str">
        <x:v>主动</x:v>
      </x:c>
      <x:c r="F98" s="5" t="str">
        <x:v>2026/9/28 15:44:02</x:v>
      </x:c>
      <x:c r="G98" s="5" t="str">
        <x:v>未取得回答</x:v>
      </x:c>
      <x:c r="H98" s="5" t="str"/>
      <x:c r="I98" s="5" t="str">
        <x:v>不适用</x:v>
      </x:c>
      <x:c r="J98" s="5" t="str"/>
      <x:c r="K98" s="5" t="str"/>
      <x:c r="L98" s="5" t="str"/>
      <x:c r="M98" s="5" t="str"/>
      <x:c r="N98" s="5" t="str">
        <x:v>主动品牌认知</x:v>
      </x:c>
      <x:c r="O98" s="5" t="str"/>
      <x:c r="P98" s="5" t="str"/>
      <x:c r="Q98" s="5" t="str"/>
      <x:c r="R98" s="5" t="str"/>
      <x:c r="S98" s="5" t="str"/>
      <x:c r="T98" s="5" t="str"/>
      <x:c r="U98" s="5" t="str">
        <x:v>未识别</x:v>
      </x:c>
      <x:c r="V98" s="5" t="str">
        <x:v>平台持续提示繁忙；按用户规则跳过，未提交</x:v>
      </x:c>
      <x:c r="W98" s="5" t="str"/>
      <x:c r="X98" s="5" t="n">
        <x:v>0</x:v>
      </x:c>
      <x:c r="Y98" s="5" t="str">
        <x:v>否</x:v>
      </x:c>
    </x:row>
    <x:row r="99" ht="34" customHeight="1">
      <x:c r="A99" s="5" t="str">
        <x:v>Q18</x:v>
      </x:c>
      <x:c r="B99" s="5" t="str">
        <x:v>怡可纳蛋白粉怎么样？</x:v>
      </x:c>
      <x:c r="C99" s="5" t="str">
        <x:v>主动认知</x:v>
      </x:c>
      <x:c r="D99" s="5" t="str">
        <x:v>Kimi</x:v>
      </x:c>
      <x:c r="E99" s="5" t="str">
        <x:v>主动</x:v>
      </x:c>
      <x:c r="F99" s="5" t="str">
        <x:v>2026/9/28 15:44:02</x:v>
      </x:c>
      <x:c r="G99" s="5" t="str">
        <x:v>未取得回答</x:v>
      </x:c>
      <x:c r="H99" s="5" t="str"/>
      <x:c r="I99" s="5" t="str">
        <x:v>不适用</x:v>
      </x:c>
      <x:c r="J99" s="5" t="str"/>
      <x:c r="K99" s="5" t="str"/>
      <x:c r="L99" s="5" t="str"/>
      <x:c r="M99" s="5" t="str"/>
      <x:c r="N99" s="5" t="str">
        <x:v>主动品牌认知</x:v>
      </x:c>
      <x:c r="O99" s="5" t="str"/>
      <x:c r="P99" s="5" t="str"/>
      <x:c r="Q99" s="5" t="str"/>
      <x:c r="R99" s="5" t="str"/>
      <x:c r="S99" s="5" t="str"/>
      <x:c r="T99" s="5" t="str"/>
      <x:c r="U99" s="5" t="str">
        <x:v>未识别</x:v>
      </x:c>
      <x:c r="V99" s="5" t="str">
        <x:v>平台持续提示繁忙；按用户规则跳过，未提交</x:v>
      </x:c>
      <x:c r="W99" s="5" t="str"/>
      <x:c r="X99" s="5" t="n">
        <x:v>0</x:v>
      </x:c>
      <x:c r="Y99" s="5" t="str">
        <x:v>否</x:v>
      </x:c>
    </x:row>
    <x:row r="100" ht="34" customHeight="1">
      <x:c r="A100" s="5" t="str">
        <x:v>Q19</x:v>
      </x:c>
      <x:c r="B100" s="5" t="str">
        <x:v>怡可纳酵母蛋白值得买吗？</x:v>
      </x:c>
      <x:c r="C100" s="5" t="str">
        <x:v>主动认知</x:v>
      </x:c>
      <x:c r="D100" s="5" t="str">
        <x:v>Kimi</x:v>
      </x:c>
      <x:c r="E100" s="5" t="str">
        <x:v>主动</x:v>
      </x:c>
      <x:c r="F100" s="5" t="str">
        <x:v>2026/9/28 15:44:02</x:v>
      </x:c>
      <x:c r="G100" s="5" t="str">
        <x:v>未取得回答</x:v>
      </x:c>
      <x:c r="H100" s="5" t="str"/>
      <x:c r="I100" s="5" t="str">
        <x:v>不适用</x:v>
      </x:c>
      <x:c r="J100" s="5" t="str"/>
      <x:c r="K100" s="5" t="str"/>
      <x:c r="L100" s="5" t="str"/>
      <x:c r="M100" s="5" t="str"/>
      <x:c r="N100" s="5" t="str">
        <x:v>主动品牌认知</x:v>
      </x:c>
      <x:c r="O100" s="5" t="str"/>
      <x:c r="P100" s="5" t="str"/>
      <x:c r="Q100" s="5" t="str"/>
      <x:c r="R100" s="5" t="str"/>
      <x:c r="S100" s="5" t="str"/>
      <x:c r="T100" s="5" t="str"/>
      <x:c r="U100" s="5" t="str">
        <x:v>未识别</x:v>
      </x:c>
      <x:c r="V100" s="5" t="str">
        <x:v>平台持续提示繁忙；按用户规则跳过，未提交</x:v>
      </x:c>
      <x:c r="W100" s="5" t="str"/>
      <x:c r="X100" s="5" t="n">
        <x:v>0</x:v>
      </x:c>
      <x:c r="Y100" s="5" t="str">
        <x:v>否</x:v>
      </x:c>
    </x:row>
    <x:row r="101" ht="34" customHeight="1">
      <x:c r="A101" s="5" t="str">
        <x:v>Q20</x:v>
      </x:c>
      <x:c r="B101" s="5" t="str">
        <x:v>怡可纳和其他蛋白粉品牌相比有什么特点？</x:v>
      </x:c>
      <x:c r="C101" s="5" t="str">
        <x:v>主动认知</x:v>
      </x:c>
      <x:c r="D101" s="5" t="str">
        <x:v>Kimi</x:v>
      </x:c>
      <x:c r="E101" s="5" t="str">
        <x:v>主动</x:v>
      </x:c>
      <x:c r="F101" s="5" t="str">
        <x:v>2026/9/28 15:44:02</x:v>
      </x:c>
      <x:c r="G101" s="5" t="str">
        <x:v>未取得回答</x:v>
      </x:c>
      <x:c r="H101" s="5" t="str"/>
      <x:c r="I101" s="5" t="str">
        <x:v>不适用</x:v>
      </x:c>
      <x:c r="J101" s="5" t="str"/>
      <x:c r="K101" s="5" t="str"/>
      <x:c r="L101" s="5" t="str"/>
      <x:c r="M101" s="5" t="str"/>
      <x:c r="N101" s="5" t="str">
        <x:v>主动品牌认知</x:v>
      </x:c>
      <x:c r="O101" s="5" t="str"/>
      <x:c r="P101" s="5" t="str"/>
      <x:c r="Q101" s="5" t="str"/>
      <x:c r="R101" s="5" t="str"/>
      <x:c r="S101" s="5" t="str"/>
      <x:c r="T101" s="5" t="str"/>
      <x:c r="U101" s="5" t="str">
        <x:v>未识别</x:v>
      </x:c>
      <x:c r="V101" s="5" t="str">
        <x:v>平台持续提示繁忙；按用户规则跳过，未提交</x:v>
      </x:c>
      <x:c r="W101" s="5" t="str"/>
      <x:c r="X101" s="5" t="n">
        <x:v>0</x:v>
      </x:c>
      <x:c r="Y101" s="5" t="str">
        <x:v>否</x:v>
      </x:c>
    </x:row>
  </x:sheetData>
  <x:pageMargins left="0.7" right="0.7" top="0.75" bottom="0.75" header="0.3" footer="0.3"/>
</x:worksheet>
</file>

<file path=xl/worksheets/sheet3.xml><?xml version="1.0" encoding="utf-8"?>
<x:worksheet xmlns:x="http://schemas.openxmlformats.org/spreadsheetml/2006/main">
  <x:sheetPr>
    <x:tabColor rgb="FF23556B"/>
  </x:sheetPr>
  <x:sheetViews>
    <x:sheetView showGridLines="0" workbookViewId="0">
      <x:pane ySplit="1" topLeftCell="A2" activePane="bottomLeft" state="frozen"/>
    </x:sheetView>
  </x:sheetViews>
  <x:sheetFormatPr defaultRowHeight="15"/>
  <x:cols>
    <x:col min="1" max="1" width="12" hidden="0" customWidth="1"/>
    <x:col min="2" max="2" width="45" hidden="0" customWidth="1"/>
    <x:col min="3" max="3" width="16" hidden="0" customWidth="1"/>
    <x:col min="4" max="4" width="14" hidden="0" customWidth="1"/>
    <x:col min="5" max="5" width="20" hidden="0" customWidth="1"/>
    <x:col min="6" max="6" width="16" hidden="0" customWidth="1"/>
    <x:col min="7" max="7" width="24" hidden="0" customWidth="1"/>
    <x:col min="8" max="8" width="18" hidden="0" customWidth="1"/>
    <x:col min="9" max="9" width="45" hidden="0" customWidth="1"/>
    <x:col min="10" max="10" width="14" hidden="0" customWidth="1"/>
    <x:col min="11" max="11" width="14" hidden="0" customWidth="1"/>
    <x:col min="12" max="12" width="16" hidden="0" customWidth="1"/>
    <x:col min="13" max="13" width="17" hidden="0" customWidth="1"/>
    <x:col min="14" max="14" width="15" hidden="0" customWidth="1"/>
    <x:col min="15" max="15" width="15" hidden="0" customWidth="1"/>
    <x:col min="16" max="16" width="15" hidden="0" customWidth="1"/>
  </x:cols>
  <x:sheetData>
    <x:row r="1" ht="30" customHeight="1">
      <x:c r="A1" s="3" t="str">
        <x:v>Query ID</x:v>
      </x:c>
      <x:c r="B1" s="3" t="str">
        <x:v>完整问题</x:v>
      </x:c>
      <x:c r="C1" s="3" t="str">
        <x:v>分类</x:v>
      </x:c>
      <x:c r="D1" s="3" t="str">
        <x:v>有效平台数</x:v>
      </x:c>
      <x:c r="E1" s="3" t="str">
        <x:v>怡可纳自然提及数</x:v>
      </x:c>
      <x:c r="F1" s="3" t="str">
        <x:v>自然提及率</x:v>
      </x:c>
      <x:c r="G1" s="3" t="str">
        <x:v>提及平台</x:v>
      </x:c>
      <x:c r="H1" s="3" t="str">
        <x:v>状态/机会</x:v>
      </x:c>
      <x:c r="I1" s="3" t="str">
        <x:v>样本说明</x:v>
      </x:c>
      <x:c r="J1" s="3" t="str">
        <x:v>怡可纳</x:v>
      </x:c>
      <x:c r="K1" s="3" t="str">
        <x:v>康比特</x:v>
      </x:c>
      <x:c r="L1" s="3" t="str">
        <x:v>赛霸/小赛同学</x:v>
      </x:c>
      <x:c r="M1" s="3" t="str">
        <x:v>ON/欧普特蒙</x:v>
      </x:c>
      <x:c r="N1" s="3" t="str">
        <x:v>诺特兰德</x:v>
      </x:c>
      <x:c r="O1" s="3" t="str">
        <x:v>Myprotein</x:v>
      </x:c>
      <x:c r="P1" s="3" t="str">
        <x:v>京东京造</x:v>
      </x:c>
    </x:row>
    <x:row r="2" ht="27" customHeight="1">
      <x:c r="A2" s="5" t="str">
        <x:v>Q1</x:v>
      </x:c>
      <x:c r="B2" s="5" t="str">
        <x:v>酵母蛋白是什么？</x:v>
      </x:c>
      <x:c r="C2" s="5" t="str">
        <x:v>品类认知</x:v>
      </x:c>
      <x:c r="D2" s="5" t="n">
        <x:v>5</x:v>
      </x:c>
      <x:c r="E2" s="5" t="n">
        <x:v>1</x:v>
      </x:c>
      <x:c r="F2" s="6" t="n">
        <x:v>0.2</x:v>
      </x:c>
      <x:c r="G2" s="5" t="str">
        <x:v>豆包</x:v>
      </x:c>
      <x:c r="H2" s="5" t="str">
        <x:v>已出现</x:v>
      </x:c>
      <x:c r="I2" s="5" t="str"/>
      <x:c r="J2" s="5" t="str">
        <x:v>1/5</x:v>
      </x:c>
      <x:c r="K2" s="5" t="str">
        <x:v>0/5</x:v>
      </x:c>
      <x:c r="L2" s="5" t="str">
        <x:v>0/5</x:v>
      </x:c>
      <x:c r="M2" s="5" t="str">
        <x:v>0/5</x:v>
      </x:c>
      <x:c r="N2" s="5" t="str">
        <x:v>0/5</x:v>
      </x:c>
      <x:c r="O2" s="5" t="str">
        <x:v>0/5</x:v>
      </x:c>
      <x:c r="P2" s="5" t="str">
        <x:v>0/5</x:v>
      </x:c>
    </x:row>
    <x:row r="3" ht="27" customHeight="1">
      <x:c r="A3" s="5" t="str">
        <x:v>Q2</x:v>
      </x:c>
      <x:c r="B3" s="5" t="str">
        <x:v>酵母蛋白和乳清蛋白有什么区别？</x:v>
      </x:c>
      <x:c r="C3" s="5" t="str">
        <x:v>品类认知</x:v>
      </x:c>
      <x:c r="D3" s="5" t="n">
        <x:v>5</x:v>
      </x:c>
      <x:c r="E3" s="5" t="n">
        <x:v>0</x:v>
      </x:c>
      <x:c r="F3" s="6" t="n">
        <x:v>0</x:v>
      </x:c>
      <x:c r="G3" s="5" t="str"/>
      <x:c r="H3" s="5" t="str">
        <x:v>未出现</x:v>
      </x:c>
      <x:c r="I3" s="5" t="str"/>
      <x:c r="J3" s="5" t="str">
        <x:v>0/5</x:v>
      </x:c>
      <x:c r="K3" s="5" t="str">
        <x:v>0/5</x:v>
      </x:c>
      <x:c r="L3" s="5" t="str">
        <x:v>0/5</x:v>
      </x:c>
      <x:c r="M3" s="5" t="str">
        <x:v>0/5</x:v>
      </x:c>
      <x:c r="N3" s="5" t="str">
        <x:v>0/5</x:v>
      </x:c>
      <x:c r="O3" s="5" t="str">
        <x:v>0/5</x:v>
      </x:c>
      <x:c r="P3" s="5" t="str">
        <x:v>0/5</x:v>
      </x:c>
    </x:row>
    <x:row r="4" ht="27" customHeight="1">
      <x:c r="A4" s="5" t="str">
        <x:v>Q3</x:v>
      </x:c>
      <x:c r="B4" s="5" t="str">
        <x:v>酵母蛋白值得买吗？</x:v>
      </x:c>
      <x:c r="C4" s="5" t="str">
        <x:v>品类认知</x:v>
      </x:c>
      <x:c r="D4" s="5" t="n">
        <x:v>5</x:v>
      </x:c>
      <x:c r="E4" s="5" t="n">
        <x:v>0</x:v>
      </x:c>
      <x:c r="F4" s="6" t="n">
        <x:v>0</x:v>
      </x:c>
      <x:c r="G4" s="5" t="str"/>
      <x:c r="H4" s="5" t="str">
        <x:v>未出现</x:v>
      </x:c>
      <x:c r="I4" s="5" t="str"/>
      <x:c r="J4" s="5" t="str">
        <x:v>0/5</x:v>
      </x:c>
      <x:c r="K4" s="5" t="str">
        <x:v>0/5</x:v>
      </x:c>
      <x:c r="L4" s="5" t="str">
        <x:v>1/5</x:v>
      </x:c>
      <x:c r="M4" s="5" t="str">
        <x:v>0/5</x:v>
      </x:c>
      <x:c r="N4" s="5" t="str">
        <x:v>0/5</x:v>
      </x:c>
      <x:c r="O4" s="5" t="str">
        <x:v>0/5</x:v>
      </x:c>
      <x:c r="P4" s="5" t="str">
        <x:v>1/5</x:v>
      </x:c>
    </x:row>
    <x:row r="5" ht="27" customHeight="1">
      <x:c r="A5" s="5" t="str">
        <x:v>Q4</x:v>
      </x:c>
      <x:c r="B5" s="5" t="str">
        <x:v>酵母蛋白有哪些品牌？</x:v>
      </x:c>
      <x:c r="C5" s="5" t="str">
        <x:v>品类认知</x:v>
      </x:c>
      <x:c r="D5" s="5" t="n">
        <x:v>5</x:v>
      </x:c>
      <x:c r="E5" s="5" t="n">
        <x:v>3</x:v>
      </x:c>
      <x:c r="F5" s="6" t="n">
        <x:v>0.6</x:v>
      </x:c>
      <x:c r="G5" s="5" t="str">
        <x:v>DeepSeek、豆包、千问</x:v>
      </x:c>
      <x:c r="H5" s="5" t="str">
        <x:v>已出现</x:v>
      </x:c>
      <x:c r="I5" s="5" t="str"/>
      <x:c r="J5" s="5" t="str">
        <x:v>3/5</x:v>
      </x:c>
      <x:c r="K5" s="5" t="str">
        <x:v>0/5</x:v>
      </x:c>
      <x:c r="L5" s="5" t="str">
        <x:v>4/5</x:v>
      </x:c>
      <x:c r="M5" s="5" t="str">
        <x:v>0/5</x:v>
      </x:c>
      <x:c r="N5" s="5" t="str">
        <x:v>0/5</x:v>
      </x:c>
      <x:c r="O5" s="5" t="str">
        <x:v>1/5</x:v>
      </x:c>
      <x:c r="P5" s="5" t="str">
        <x:v>2/5</x:v>
      </x:c>
    </x:row>
    <x:row r="6" ht="27" customHeight="1">
      <x:c r="A6" s="5" t="str">
        <x:v>Q5</x:v>
      </x:c>
      <x:c r="B6" s="5" t="str">
        <x:v>乳糖不耐受的人适合喝什么蛋白粉？</x:v>
      </x:c>
      <x:c r="C6" s="5" t="str">
        <x:v>需求解决</x:v>
      </x:c>
      <x:c r="D6" s="5" t="n">
        <x:v>5</x:v>
      </x:c>
      <x:c r="E6" s="5" t="n">
        <x:v>0</x:v>
      </x:c>
      <x:c r="F6" s="6" t="n">
        <x:v>0</x:v>
      </x:c>
      <x:c r="G6" s="5" t="str"/>
      <x:c r="H6" s="5" t="str">
        <x:v>高价值空白</x:v>
      </x:c>
      <x:c r="I6" s="5" t="str"/>
      <x:c r="J6" s="5" t="str">
        <x:v>0/5</x:v>
      </x:c>
      <x:c r="K6" s="5" t="str">
        <x:v>0/5</x:v>
      </x:c>
      <x:c r="L6" s="5" t="str">
        <x:v>0/5</x:v>
      </x:c>
      <x:c r="M6" s="5" t="str">
        <x:v>1/5</x:v>
      </x:c>
      <x:c r="N6" s="5" t="str">
        <x:v>0/5</x:v>
      </x:c>
      <x:c r="O6" s="5" t="str">
        <x:v>1/5</x:v>
      </x:c>
      <x:c r="P6" s="5" t="str">
        <x:v>0/5</x:v>
      </x:c>
    </x:row>
    <x:row r="7" ht="27" customHeight="1">
      <x:c r="A7" s="5" t="str">
        <x:v>Q6</x:v>
      </x:c>
      <x:c r="B7" s="5" t="str">
        <x:v>喝乳清蛋白容易肚子不舒服，有什么其他蛋白粉可以选？</x:v>
      </x:c>
      <x:c r="C7" s="5" t="str">
        <x:v>需求解决</x:v>
      </x:c>
      <x:c r="D7" s="5" t="n">
        <x:v>5</x:v>
      </x:c>
      <x:c r="E7" s="5" t="n">
        <x:v>0</x:v>
      </x:c>
      <x:c r="F7" s="6" t="n">
        <x:v>0</x:v>
      </x:c>
      <x:c r="G7" s="5" t="str"/>
      <x:c r="H7" s="5" t="str">
        <x:v>高价值空白</x:v>
      </x:c>
      <x:c r="I7" s="5" t="str"/>
      <x:c r="J7" s="5" t="str">
        <x:v>0/5</x:v>
      </x:c>
      <x:c r="K7" s="5" t="str">
        <x:v>0/5</x:v>
      </x:c>
      <x:c r="L7" s="5" t="str">
        <x:v>0/5</x:v>
      </x:c>
      <x:c r="M7" s="5" t="str">
        <x:v>0/5</x:v>
      </x:c>
      <x:c r="N7" s="5" t="str">
        <x:v>0/5</x:v>
      </x:c>
      <x:c r="O7" s="5" t="str">
        <x:v>0/5</x:v>
      </x:c>
      <x:c r="P7" s="5" t="str">
        <x:v>0/5</x:v>
      </x:c>
    </x:row>
    <x:row r="8" ht="27" customHeight="1">
      <x:c r="A8" s="5" t="str">
        <x:v>Q7</x:v>
      </x:c>
      <x:c r="B8" s="5" t="str">
        <x:v>健身新手应该买什么蛋白粉？</x:v>
      </x:c>
      <x:c r="C8" s="5" t="str">
        <x:v>需求解决</x:v>
      </x:c>
      <x:c r="D8" s="5" t="n">
        <x:v>5</x:v>
      </x:c>
      <x:c r="E8" s="5" t="n">
        <x:v>0</x:v>
      </x:c>
      <x:c r="F8" s="6" t="n">
        <x:v>0</x:v>
      </x:c>
      <x:c r="G8" s="5" t="str"/>
      <x:c r="H8" s="5" t="str">
        <x:v>未出现</x:v>
      </x:c>
      <x:c r="I8" s="5" t="str"/>
      <x:c r="J8" s="5" t="str">
        <x:v>0/5</x:v>
      </x:c>
      <x:c r="K8" s="5" t="str">
        <x:v>3/5</x:v>
      </x:c>
      <x:c r="L8" s="5" t="str">
        <x:v>2/5</x:v>
      </x:c>
      <x:c r="M8" s="5" t="str">
        <x:v>4/5</x:v>
      </x:c>
      <x:c r="N8" s="5" t="str">
        <x:v>2/5</x:v>
      </x:c>
      <x:c r="O8" s="5" t="str">
        <x:v>2/5</x:v>
      </x:c>
      <x:c r="P8" s="5" t="str">
        <x:v>1/5</x:v>
      </x:c>
    </x:row>
    <x:row r="9" ht="27" customHeight="1">
      <x:c r="A9" s="5" t="str">
        <x:v>Q8</x:v>
      </x:c>
      <x:c r="B9" s="5" t="str">
        <x:v>增肌训练喝什么蛋白粉比较合适？</x:v>
      </x:c>
      <x:c r="C9" s="5" t="str">
        <x:v>需求解决</x:v>
      </x:c>
      <x:c r="D9" s="5" t="n">
        <x:v>5</x:v>
      </x:c>
      <x:c r="E9" s="5" t="n">
        <x:v>0</x:v>
      </x:c>
      <x:c r="F9" s="6" t="n">
        <x:v>0</x:v>
      </x:c>
      <x:c r="G9" s="5" t="str"/>
      <x:c r="H9" s="5" t="str">
        <x:v>未出现</x:v>
      </x:c>
      <x:c r="I9" s="5" t="str"/>
      <x:c r="J9" s="5" t="str">
        <x:v>0/5</x:v>
      </x:c>
      <x:c r="K9" s="5" t="str">
        <x:v>2/5</x:v>
      </x:c>
      <x:c r="L9" s="5" t="str">
        <x:v>0/5</x:v>
      </x:c>
      <x:c r="M9" s="5" t="str">
        <x:v>2/5</x:v>
      </x:c>
      <x:c r="N9" s="5" t="str">
        <x:v>0/5</x:v>
      </x:c>
      <x:c r="O9" s="5" t="str">
        <x:v>1/5</x:v>
      </x:c>
      <x:c r="P9" s="5" t="str">
        <x:v>0/5</x:v>
      </x:c>
    </x:row>
    <x:row r="10" ht="27" customHeight="1">
      <x:c r="A10" s="5" t="str">
        <x:v>Q9</x:v>
      </x:c>
      <x:c r="B10" s="5" t="str">
        <x:v>100元左右有什么蛋白粉推荐？</x:v>
      </x:c>
      <x:c r="C10" s="5" t="str">
        <x:v>购买推荐</x:v>
      </x:c>
      <x:c r="D10" s="5" t="n">
        <x:v>5</x:v>
      </x:c>
      <x:c r="E10" s="5" t="n">
        <x:v>1</x:v>
      </x:c>
      <x:c r="F10" s="6" t="n">
        <x:v>0.2</x:v>
      </x:c>
      <x:c r="G10" s="5" t="str">
        <x:v>DeepSeek</x:v>
      </x:c>
      <x:c r="H10" s="5" t="str">
        <x:v>已出现</x:v>
      </x:c>
      <x:c r="I10" s="5" t="str"/>
      <x:c r="J10" s="5" t="str">
        <x:v>1/5</x:v>
      </x:c>
      <x:c r="K10" s="5" t="str">
        <x:v>1/5</x:v>
      </x:c>
      <x:c r="L10" s="5" t="str">
        <x:v>1/5</x:v>
      </x:c>
      <x:c r="M10" s="5" t="str">
        <x:v>2/5</x:v>
      </x:c>
      <x:c r="N10" s="5" t="str">
        <x:v>3/5</x:v>
      </x:c>
      <x:c r="O10" s="5" t="str">
        <x:v>2/5</x:v>
      </x:c>
      <x:c r="P10" s="5" t="str">
        <x:v>1/5</x:v>
      </x:c>
    </x:row>
    <x:row r="11" ht="27" customHeight="1">
      <x:c r="A11" s="5" t="str">
        <x:v>Q10</x:v>
      </x:c>
      <x:c r="B11" s="5" t="str">
        <x:v>性价比高的蛋白粉有哪些？</x:v>
      </x:c>
      <x:c r="C11" s="5" t="str">
        <x:v>购买推荐</x:v>
      </x:c>
      <x:c r="D11" s="5" t="n">
        <x:v>5</x:v>
      </x:c>
      <x:c r="E11" s="5" t="n">
        <x:v>0</x:v>
      </x:c>
      <x:c r="F11" s="6" t="n">
        <x:v>0</x:v>
      </x:c>
      <x:c r="G11" s="5" t="str"/>
      <x:c r="H11" s="5" t="str">
        <x:v>未出现</x:v>
      </x:c>
      <x:c r="I11" s="5" t="str"/>
      <x:c r="J11" s="5" t="str">
        <x:v>0/5</x:v>
      </x:c>
      <x:c r="K11" s="5" t="str">
        <x:v>5/5</x:v>
      </x:c>
      <x:c r="L11" s="5" t="str">
        <x:v>3/5</x:v>
      </x:c>
      <x:c r="M11" s="5" t="str">
        <x:v>4/5</x:v>
      </x:c>
      <x:c r="N11" s="5" t="str">
        <x:v>3/5</x:v>
      </x:c>
      <x:c r="O11" s="5" t="str">
        <x:v>4/5</x:v>
      </x:c>
      <x:c r="P11" s="5" t="str">
        <x:v>0/5</x:v>
      </x:c>
    </x:row>
    <x:row r="12" ht="27" customHeight="1">
      <x:c r="A12" s="5" t="str">
        <x:v>Q11</x:v>
      </x:c>
      <x:c r="B12" s="5" t="str">
        <x:v>国产蛋白粉哪个牌子值得买？</x:v>
      </x:c>
      <x:c r="C12" s="5" t="str">
        <x:v>购买推荐</x:v>
      </x:c>
      <x:c r="D12" s="5" t="n">
        <x:v>5</x:v>
      </x:c>
      <x:c r="E12" s="5" t="n">
        <x:v>0</x:v>
      </x:c>
      <x:c r="F12" s="6" t="n">
        <x:v>0</x:v>
      </x:c>
      <x:c r="G12" s="5" t="str"/>
      <x:c r="H12" s="5" t="str">
        <x:v>未出现</x:v>
      </x:c>
      <x:c r="I12" s="5" t="str"/>
      <x:c r="J12" s="5" t="str">
        <x:v>0/5</x:v>
      </x:c>
      <x:c r="K12" s="5" t="str">
        <x:v>5/5</x:v>
      </x:c>
      <x:c r="L12" s="5" t="str">
        <x:v>2/5</x:v>
      </x:c>
      <x:c r="M12" s="5" t="str">
        <x:v>0/5</x:v>
      </x:c>
      <x:c r="N12" s="5" t="str">
        <x:v>4/5</x:v>
      </x:c>
      <x:c r="O12" s="5" t="str">
        <x:v>0/5</x:v>
      </x:c>
      <x:c r="P12" s="5" t="str">
        <x:v>2/5</x:v>
      </x:c>
    </x:row>
    <x:row r="13" ht="27" customHeight="1">
      <x:c r="A13" s="5" t="str">
        <x:v>Q12</x:v>
      </x:c>
      <x:c r="B13" s="5" t="str">
        <x:v>学生党健身适合买什么蛋白粉？</x:v>
      </x:c>
      <x:c r="C13" s="5" t="str">
        <x:v>购买推荐</x:v>
      </x:c>
      <x:c r="D13" s="5" t="n">
        <x:v>4</x:v>
      </x:c>
      <x:c r="E13" s="5" t="n">
        <x:v>0</x:v>
      </x:c>
      <x:c r="F13" s="6" t="n">
        <x:v>0</x:v>
      </x:c>
      <x:c r="G13" s="5" t="str"/>
      <x:c r="H13" s="5" t="str">
        <x:v>未出现</x:v>
      </x:c>
      <x:c r="I13" s="5" t="str">
        <x:v>Kimi: 重试仍显示：和Kimi聊天的人太多了，订阅会员可进入优先队列</x:v>
      </x:c>
      <x:c r="J13" s="5" t="str">
        <x:v>0/4</x:v>
      </x:c>
      <x:c r="K13" s="5" t="str">
        <x:v>3/4</x:v>
      </x:c>
      <x:c r="L13" s="5" t="str">
        <x:v>3/4</x:v>
      </x:c>
      <x:c r="M13" s="5" t="str">
        <x:v>3/4</x:v>
      </x:c>
      <x:c r="N13" s="5" t="str">
        <x:v>2/4</x:v>
      </x:c>
      <x:c r="O13" s="5" t="str">
        <x:v>3/4</x:v>
      </x:c>
      <x:c r="P13" s="5" t="str">
        <x:v>2/4</x:v>
      </x:c>
    </x:row>
    <x:row r="14" ht="27" customHeight="1">
      <x:c r="A14" s="5" t="str">
        <x:v>Q13</x:v>
      </x:c>
      <x:c r="B14" s="5" t="str">
        <x:v>有没有比较好喝、容易坚持喝的蛋白粉推荐？</x:v>
      </x:c>
      <x:c r="C14" s="5" t="str">
        <x:v>购买推荐</x:v>
      </x:c>
      <x:c r="D14" s="5" t="n">
        <x:v>4</x:v>
      </x:c>
      <x:c r="E14" s="5" t="n">
        <x:v>1</x:v>
      </x:c>
      <x:c r="F14" s="6" t="n">
        <x:v>0.25</x:v>
      </x:c>
      <x:c r="G14" s="5" t="str">
        <x:v>豆包</x:v>
      </x:c>
      <x:c r="H14" s="5" t="str">
        <x:v>已出现</x:v>
      </x:c>
      <x:c r="I14" s="5" t="str">
        <x:v>Kimi: 平台持续提示繁忙；按用户规则跳过，未提交</x:v>
      </x:c>
      <x:c r="J14" s="5" t="str">
        <x:v>1/4</x:v>
      </x:c>
      <x:c r="K14" s="5" t="str">
        <x:v>2/4</x:v>
      </x:c>
      <x:c r="L14" s="5" t="str">
        <x:v>1/4</x:v>
      </x:c>
      <x:c r="M14" s="5" t="str">
        <x:v>4/4</x:v>
      </x:c>
      <x:c r="N14" s="5" t="str">
        <x:v>1/4</x:v>
      </x:c>
      <x:c r="O14" s="5" t="str">
        <x:v>4/4</x:v>
      </x:c>
      <x:c r="P14" s="5" t="str">
        <x:v>1/4</x:v>
      </x:c>
    </x:row>
    <x:row r="15" ht="27" customHeight="1">
      <x:c r="A15" s="5" t="str">
        <x:v>Q14</x:v>
      </x:c>
      <x:c r="B15" s="5" t="str">
        <x:v>酵母蛋白粉哪个牌子比较好？</x:v>
      </x:c>
      <x:c r="C15" s="5" t="str">
        <x:v>品牌竞争</x:v>
      </x:c>
      <x:c r="D15" s="5" t="n">
        <x:v>4</x:v>
      </x:c>
      <x:c r="E15" s="5" t="n">
        <x:v>2</x:v>
      </x:c>
      <x:c r="F15" s="6" t="n">
        <x:v>0.5</x:v>
      </x:c>
      <x:c r="G15" s="5" t="str">
        <x:v>DeepSeek、豆包</x:v>
      </x:c>
      <x:c r="H15" s="5" t="str">
        <x:v>已出现</x:v>
      </x:c>
      <x:c r="I15" s="5" t="str">
        <x:v>Kimi: 平台持续提示繁忙；按用户规则跳过，未提交</x:v>
      </x:c>
      <x:c r="J15" s="5" t="str">
        <x:v>2/4</x:v>
      </x:c>
      <x:c r="K15" s="5" t="str">
        <x:v>1/4</x:v>
      </x:c>
      <x:c r="L15" s="5" t="str">
        <x:v>2/4</x:v>
      </x:c>
      <x:c r="M15" s="5" t="str">
        <x:v>1/4</x:v>
      </x:c>
      <x:c r="N15" s="5" t="str">
        <x:v>0/4</x:v>
      </x:c>
      <x:c r="O15" s="5" t="str">
        <x:v>0/4</x:v>
      </x:c>
      <x:c r="P15" s="5" t="str">
        <x:v>3/4</x:v>
      </x:c>
    </x:row>
    <x:row r="16" ht="27" customHeight="1">
      <x:c r="A16" s="5" t="str">
        <x:v>Q15</x:v>
      </x:c>
      <x:c r="B16" s="5" t="str">
        <x:v>国产运动营养品牌有哪些值得关注？</x:v>
      </x:c>
      <x:c r="C16" s="5" t="str">
        <x:v>品牌竞争</x:v>
      </x:c>
      <x:c r="D16" s="5" t="n">
        <x:v>4</x:v>
      </x:c>
      <x:c r="E16" s="5" t="n">
        <x:v>1</x:v>
      </x:c>
      <x:c r="F16" s="6" t="n">
        <x:v>0.25</x:v>
      </x:c>
      <x:c r="G16" s="5" t="str">
        <x:v>豆包</x:v>
      </x:c>
      <x:c r="H16" s="5" t="str">
        <x:v>已出现</x:v>
      </x:c>
      <x:c r="I16" s="5" t="str">
        <x:v>Kimi: 平台持续提示繁忙；按用户规则跳过，未提交</x:v>
      </x:c>
      <x:c r="J16" s="5" t="str">
        <x:v>1/4</x:v>
      </x:c>
      <x:c r="K16" s="5" t="str">
        <x:v>4/4</x:v>
      </x:c>
      <x:c r="L16" s="5" t="str">
        <x:v>3/4</x:v>
      </x:c>
      <x:c r="M16" s="5" t="str">
        <x:v>0/4</x:v>
      </x:c>
      <x:c r="N16" s="5" t="str">
        <x:v>4/4</x:v>
      </x:c>
      <x:c r="O16" s="5" t="str">
        <x:v>0/4</x:v>
      </x:c>
      <x:c r="P16" s="5" t="str">
        <x:v>0/4</x:v>
      </x:c>
    </x:row>
    <x:row r="17" ht="27" customHeight="1">
      <x:c r="A17" s="5" t="str">
        <x:v>Q16</x:v>
      </x:c>
      <x:c r="B17" s="5" t="str">
        <x:v>除了乳清蛋白，还有哪些适合健身人群的蛋白来源？</x:v>
      </x:c>
      <x:c r="C17" s="5" t="str">
        <x:v>品牌竞争</x:v>
      </x:c>
      <x:c r="D17" s="5" t="n">
        <x:v>4</x:v>
      </x:c>
      <x:c r="E17" s="5" t="n">
        <x:v>0</x:v>
      </x:c>
      <x:c r="F17" s="6" t="n">
        <x:v>0</x:v>
      </x:c>
      <x:c r="G17" s="5" t="str"/>
      <x:c r="H17" s="5" t="str">
        <x:v>未出现</x:v>
      </x:c>
      <x:c r="I17" s="5" t="str">
        <x:v>Kimi: 平台持续提示繁忙；按用户规则跳过，未提交</x:v>
      </x:c>
      <x:c r="J17" s="5" t="str">
        <x:v>0/4</x:v>
      </x:c>
      <x:c r="K17" s="5" t="str">
        <x:v>0/4</x:v>
      </x:c>
      <x:c r="L17" s="5" t="str">
        <x:v>0/4</x:v>
      </x:c>
      <x:c r="M17" s="5" t="str">
        <x:v>0/4</x:v>
      </x:c>
      <x:c r="N17" s="5" t="str">
        <x:v>0/4</x:v>
      </x:c>
      <x:c r="O17" s="5" t="str">
        <x:v>0/4</x:v>
      </x:c>
      <x:c r="P17" s="5" t="str">
        <x:v>0/4</x:v>
      </x:c>
    </x:row>
    <x:row r="18" ht="27" customHeight="1">
      <x:c r="A18" s="5" t="str">
        <x:v>Q17</x:v>
      </x:c>
      <x:c r="B18" s="5" t="str">
        <x:v>怡可纳是什么品牌？</x:v>
      </x:c>
      <x:c r="C18" s="5" t="str">
        <x:v>主动认知</x:v>
      </x:c>
      <x:c r="D18" s="5" t="n">
        <x:v>4</x:v>
      </x:c>
      <x:c r="E18" s="5" t="str">
        <x:v>—</x:v>
      </x:c>
      <x:c r="F18" s="5" t="str">
        <x:v>—</x:v>
      </x:c>
      <x:c r="G18" s="5" t="str">
        <x:v>DeepSeek、豆包、元宝、千问</x:v>
      </x:c>
      <x:c r="H18" s="5" t="str">
        <x:v>已出现</x:v>
      </x:c>
      <x:c r="I18" s="5" t="str">
        <x:v>Kimi: 平台持续提示繁忙；按用户规则跳过，未提交</x:v>
      </x:c>
      <x:c r="J18" s="5" t="str">
        <x:v>—</x:v>
      </x:c>
      <x:c r="K18" s="5" t="str">
        <x:v>—</x:v>
      </x:c>
      <x:c r="L18" s="5" t="str">
        <x:v>—</x:v>
      </x:c>
      <x:c r="M18" s="5" t="str">
        <x:v>—</x:v>
      </x:c>
      <x:c r="N18" s="5" t="str">
        <x:v>—</x:v>
      </x:c>
      <x:c r="O18" s="5" t="str">
        <x:v>—</x:v>
      </x:c>
      <x:c r="P18" s="5" t="str">
        <x:v>—</x:v>
      </x:c>
    </x:row>
    <x:row r="19" ht="27" customHeight="1">
      <x:c r="A19" s="5" t="str">
        <x:v>Q18</x:v>
      </x:c>
      <x:c r="B19" s="5" t="str">
        <x:v>怡可纳蛋白粉怎么样？</x:v>
      </x:c>
      <x:c r="C19" s="5" t="str">
        <x:v>主动认知</x:v>
      </x:c>
      <x:c r="D19" s="5" t="n">
        <x:v>4</x:v>
      </x:c>
      <x:c r="E19" s="5" t="str">
        <x:v>—</x:v>
      </x:c>
      <x:c r="F19" s="5" t="str">
        <x:v>—</x:v>
      </x:c>
      <x:c r="G19" s="5" t="str">
        <x:v>DeepSeek、豆包、元宝、千问</x:v>
      </x:c>
      <x:c r="H19" s="5" t="str">
        <x:v>已出现</x:v>
      </x:c>
      <x:c r="I19" s="5" t="str">
        <x:v>Kimi: 平台持续提示繁忙；按用户规则跳过，未提交</x:v>
      </x:c>
      <x:c r="J19" s="5" t="str">
        <x:v>—</x:v>
      </x:c>
      <x:c r="K19" s="5" t="str">
        <x:v>—</x:v>
      </x:c>
      <x:c r="L19" s="5" t="str">
        <x:v>—</x:v>
      </x:c>
      <x:c r="M19" s="5" t="str">
        <x:v>—</x:v>
      </x:c>
      <x:c r="N19" s="5" t="str">
        <x:v>—</x:v>
      </x:c>
      <x:c r="O19" s="5" t="str">
        <x:v>—</x:v>
      </x:c>
      <x:c r="P19" s="5" t="str">
        <x:v>—</x:v>
      </x:c>
    </x:row>
    <x:row r="20" ht="27" customHeight="1">
      <x:c r="A20" s="5" t="str">
        <x:v>Q19</x:v>
      </x:c>
      <x:c r="B20" s="5" t="str">
        <x:v>怡可纳酵母蛋白值得买吗？</x:v>
      </x:c>
      <x:c r="C20" s="5" t="str">
        <x:v>主动认知</x:v>
      </x:c>
      <x:c r="D20" s="5" t="n">
        <x:v>4</x:v>
      </x:c>
      <x:c r="E20" s="5" t="str">
        <x:v>—</x:v>
      </x:c>
      <x:c r="F20" s="5" t="str">
        <x:v>—</x:v>
      </x:c>
      <x:c r="G20" s="5" t="str">
        <x:v>DeepSeek、豆包、元宝、千问</x:v>
      </x:c>
      <x:c r="H20" s="5" t="str">
        <x:v>已出现</x:v>
      </x:c>
      <x:c r="I20" s="5" t="str">
        <x:v>Kimi: 平台持续提示繁忙；按用户规则跳过，未提交</x:v>
      </x:c>
      <x:c r="J20" s="5" t="str">
        <x:v>—</x:v>
      </x:c>
      <x:c r="K20" s="5" t="str">
        <x:v>—</x:v>
      </x:c>
      <x:c r="L20" s="5" t="str">
        <x:v>—</x:v>
      </x:c>
      <x:c r="M20" s="5" t="str">
        <x:v>—</x:v>
      </x:c>
      <x:c r="N20" s="5" t="str">
        <x:v>—</x:v>
      </x:c>
      <x:c r="O20" s="5" t="str">
        <x:v>—</x:v>
      </x:c>
      <x:c r="P20" s="5" t="str">
        <x:v>—</x:v>
      </x:c>
    </x:row>
    <x:row r="21" ht="27" customHeight="1">
      <x:c r="A21" s="5" t="str">
        <x:v>Q20</x:v>
      </x:c>
      <x:c r="B21" s="5" t="str">
        <x:v>怡可纳和其他蛋白粉品牌相比有什么特点？</x:v>
      </x:c>
      <x:c r="C21" s="5" t="str">
        <x:v>主动认知</x:v>
      </x:c>
      <x:c r="D21" s="5" t="n">
        <x:v>4</x:v>
      </x:c>
      <x:c r="E21" s="5" t="str">
        <x:v>—</x:v>
      </x:c>
      <x:c r="F21" s="5" t="str">
        <x:v>—</x:v>
      </x:c>
      <x:c r="G21" s="5" t="str">
        <x:v>DeepSeek、豆包、元宝、千问</x:v>
      </x:c>
      <x:c r="H21" s="5" t="str">
        <x:v>已出现</x:v>
      </x:c>
      <x:c r="I21" s="5" t="str">
        <x:v>Kimi: 平台持续提示繁忙；按用户规则跳过，未提交</x:v>
      </x:c>
      <x:c r="J21" s="5" t="str">
        <x:v>—</x:v>
      </x:c>
      <x:c r="K21" s="5" t="str">
        <x:v>—</x:v>
      </x:c>
      <x:c r="L21" s="5" t="str">
        <x:v>—</x:v>
      </x:c>
      <x:c r="M21" s="5" t="str">
        <x:v>—</x:v>
      </x:c>
      <x:c r="N21" s="5" t="str">
        <x:v>—</x:v>
      </x:c>
      <x:c r="O21" s="5" t="str">
        <x:v>—</x:v>
      </x:c>
      <x:c r="P21" s="5" t="str">
        <x:v>—</x:v>
      </x:c>
    </x:row>
  </x:sheetData>
  <x:pageMargins left="0.7" right="0.7" top="0.75" bottom="0.75" header="0.3" footer="0.3"/>
</x:worksheet>
</file>

<file path=xl/worksheets/sheet4.xml><?xml version="1.0" encoding="utf-8"?>
<x:worksheet xmlns:x="http://schemas.openxmlformats.org/spreadsheetml/2006/main">
  <x:sheetPr>
    <x:tabColor rgb="FF23556B"/>
  </x:sheetPr>
  <x:sheetViews>
    <x:sheetView showGridLines="0" workbookViewId="0">
      <x:pane ySplit="1" topLeftCell="A2" activePane="bottomLeft" state="frozen"/>
    </x:sheetView>
  </x:sheetViews>
  <x:sheetFormatPr defaultRowHeight="15"/>
  <x:cols>
    <x:col min="1" max="1" width="24" hidden="0" customWidth="1"/>
    <x:col min="2" max="2" width="19" hidden="0" customWidth="1"/>
    <x:col min="3" max="3" width="21" hidden="0" customWidth="1"/>
    <x:col min="4" max="4" width="17" hidden="0" customWidth="1"/>
    <x:col min="5" max="5" width="17" hidden="0" customWidth="1"/>
    <x:col min="6" max="6" width="17" hidden="0" customWidth="1"/>
    <x:col min="7" max="7" width="21" hidden="0" customWidth="1"/>
    <x:col min="8" max="8" width="20" hidden="0" customWidth="1"/>
    <x:col min="9" max="9" width="75" hidden="0" customWidth="1"/>
    <x:col min="10" max="10" width="27" hidden="0" customWidth="1"/>
  </x:cols>
  <x:sheetData>
    <x:row r="1" ht="30" customHeight="1">
      <x:c r="A1" s="3" t="str">
        <x:v>品牌</x:v>
      </x:c>
      <x:c r="B1" s="3" t="str">
        <x:v>类别</x:v>
      </x:c>
      <x:c r="C1" s="3" t="str">
        <x:v>自然回答提及数</x:v>
      </x:c>
      <x:c r="D1" s="3" t="str">
        <x:v>问题覆盖数</x:v>
      </x:c>
      <x:c r="E1" s="3" t="str">
        <x:v>平台覆盖数</x:v>
      </x:c>
      <x:c r="F1" s="3" t="str">
        <x:v>明确Top3次数</x:v>
      </x:c>
      <x:c r="G1" s="3" t="str">
        <x:v>明确第一推荐次数</x:v>
      </x:c>
      <x:c r="H1" s="3" t="str">
        <x:v>Share of AI Voice</x:v>
      </x:c>
      <x:c r="I1" s="3" t="str">
        <x:v>示例问答ID</x:v>
      </x:c>
      <x:c r="J1" s="3" t="str">
        <x:v>竞对分组（用户指定）</x:v>
      </x:c>
    </x:row>
    <x:row r="2" ht="27" customHeight="1">
      <x:c r="A2" s="5" t="str">
        <x:v>康比特</x:v>
      </x:c>
      <x:c r="B2" s="5" t="str">
        <x:v>国内运动营养</x:v>
      </x:c>
      <x:c r="C2" s="5" t="n">
        <x:v>26</x:v>
      </x:c>
      <x:c r="D2" s="5" t="n">
        <x:v>9</x:v>
      </x:c>
      <x:c r="E2" s="5" t="n">
        <x:v>5</x:v>
      </x:c>
      <x:c r="F2" s="5" t="n">
        <x:v>2</x:v>
      </x:c>
      <x:c r="G2" s="5" t="n">
        <x:v>2</x:v>
      </x:c>
      <x:c r="H2" s="6" t="n">
        <x:v>0.08813559322033898</x:v>
      </x:c>
      <x:c r="I2" s="5" t="str">
        <x:v>DeepSeek Q8、DeepSeek Q10、DeepSeek Q11、DeepSeek Q12、DeepSeek Q15、豆包 Q7、豆包 Q8、豆包 Q10、豆包 Q11、豆包 Q12、豆包 Q13、豆包 Q15</x:v>
      </x:c>
      <x:c r="J2" s="5" t="str">
        <x:v>直接竞对</x:v>
      </x:c>
    </x:row>
    <x:row r="3" ht="27" customHeight="1">
      <x:c r="A3" s="5" t="str">
        <x:v>赛霸/小赛同学</x:v>
      </x:c>
      <x:c r="B3" s="5" t="str">
        <x:v>国内运动营养</x:v>
      </x:c>
      <x:c r="C3" s="5" t="n">
        <x:v>22</x:v>
      </x:c>
      <x:c r="D3" s="5" t="n">
        <x:v>10</x:v>
      </x:c>
      <x:c r="E3" s="5" t="n">
        <x:v>4</x:v>
      </x:c>
      <x:c r="F3" s="5" t="n">
        <x:v>1</x:v>
      </x:c>
      <x:c r="G3" s="5" t="n">
        <x:v>0</x:v>
      </x:c>
      <x:c r="H3" s="6" t="n">
        <x:v>0.07457627118644068</x:v>
      </x:c>
      <x:c r="I3" s="5" t="str">
        <x:v>DeepSeek Q3、DeepSeek Q4、DeepSeek Q11、DeepSeek Q14、DeepSeek Q15、豆包 Q4、豆包 Q7、豆包 Q9、豆包 Q10、豆包 Q11、豆包 Q12、豆包 Q13</x:v>
      </x:c>
      <x:c r="J3" s="5" t="str">
        <x:v>直接竞对</x:v>
      </x:c>
    </x:row>
    <x:row r="4" ht="27" customHeight="1">
      <x:c r="A4" s="5" t="str">
        <x:v>怡可纳</x:v>
      </x:c>
      <x:c r="B4" s="5" t="str">
        <x:v>酵母蛋白</x:v>
      </x:c>
      <x:c r="C4" s="5" t="n">
        <x:v>9</x:v>
      </x:c>
      <x:c r="D4" s="5" t="n">
        <x:v>6</x:v>
      </x:c>
      <x:c r="E4" s="5" t="n">
        <x:v>3</x:v>
      </x:c>
      <x:c r="F4" s="5" t="n">
        <x:v>0</x:v>
      </x:c>
      <x:c r="G4" s="5" t="n">
        <x:v>1</x:v>
      </x:c>
      <x:c r="H4" s="6" t="n">
        <x:v>0.030508474576271188</x:v>
      </x:c>
      <x:c r="I4" s="5" t="str">
        <x:v>DeepSeek Q4、DeepSeek Q9、DeepSeek Q14、豆包 Q1、豆包 Q4、豆包 Q13、豆包 Q14、豆包 Q15、千问 Q4</x:v>
      </x:c>
      <x:c r="J4" s="5" t="str">
        <x:v>本品牌</x:v>
      </x:c>
    </x:row>
    <x:row r="5" ht="27" customHeight="1">
      <x:c r="A5" s="5" t="str">
        <x:v>BD能量</x:v>
      </x:c>
      <x:c r="B5" s="5" t="str">
        <x:v>酵母蛋白</x:v>
      </x:c>
      <x:c r="C5" s="5" t="n">
        <x:v>9</x:v>
      </x:c>
      <x:c r="D5" s="5" t="n">
        <x:v>5</x:v>
      </x:c>
      <x:c r="E5" s="5" t="n">
        <x:v>5</x:v>
      </x:c>
      <x:c r="F5" s="5" t="n">
        <x:v>0</x:v>
      </x:c>
      <x:c r="G5" s="5" t="n">
        <x:v>0</x:v>
      </x:c>
      <x:c r="H5" s="6" t="n">
        <x:v>0.030508474576271188</x:v>
      </x:c>
      <x:c r="I5" s="5" t="str">
        <x:v>DeepSeek Q4、DeepSeek Q9、DeepSeek Q14、豆包 Q4、豆包 Q14、元宝 Q12、元宝 Q14、千问 Q15、Kimi Q9</x:v>
      </x:c>
      <x:c r="J5" s="5" t="str">
        <x:v>直接竞对</x:v>
      </x:c>
    </x:row>
    <x:row r="6" ht="27" customHeight="1">
      <x:c r="A6" s="5" t="str">
        <x:v>概特/盖特</x:v>
      </x:c>
      <x:c r="B6" s="5" t="str">
        <x:v>酵母蛋白</x:v>
      </x:c>
      <x:c r="C6" s="5" t="n">
        <x:v>9</x:v>
      </x:c>
      <x:c r="D6" s="5" t="n">
        <x:v>4</x:v>
      </x:c>
      <x:c r="E6" s="5" t="n">
        <x:v>4</x:v>
      </x:c>
      <x:c r="F6" s="5" t="n">
        <x:v>1</x:v>
      </x:c>
      <x:c r="G6" s="5" t="n">
        <x:v>0</x:v>
      </x:c>
      <x:c r="H6" s="6" t="n">
        <x:v>0.030508474576271188</x:v>
      </x:c>
      <x:c r="I6" s="5" t="str">
        <x:v>DeepSeek Q4、DeepSeek Q12、DeepSeek Q14、豆包 Q4、豆包 Q9、豆包 Q14、元宝 Q4、元宝 Q14、Kimi Q4</x:v>
      </x:c>
      <x:c r="J6" s="5" t="str">
        <x:v>直接竞对</x:v>
      </x:c>
    </x:row>
    <x:row r="7" ht="27" customHeight="1">
      <x:c r="A7" s="5" t="str">
        <x:v>ALLKEEP</x:v>
      </x:c>
      <x:c r="B7" s="5" t="str">
        <x:v>酵母蛋白</x:v>
      </x:c>
      <x:c r="C7" s="5" t="n">
        <x:v>7</x:v>
      </x:c>
      <x:c r="D7" s="5" t="n">
        <x:v>5</x:v>
      </x:c>
      <x:c r="E7" s="5" t="n">
        <x:v>2</x:v>
      </x:c>
      <x:c r="F7" s="5" t="n">
        <x:v>0</x:v>
      </x:c>
      <x:c r="G7" s="5" t="n">
        <x:v>0</x:v>
      </x:c>
      <x:c r="H7" s="6" t="n">
        <x:v>0.023728813559322035</x:v>
      </x:c>
      <x:c r="I7" s="5" t="str">
        <x:v>豆包 Q4、豆包 Q9、豆包 Q10、豆包 Q12、豆包 Q14、元宝 Q4、元宝 Q14</x:v>
      </x:c>
      <x:c r="J7" s="5" t="str">
        <x:v>直接竞对</x:v>
      </x:c>
    </x:row>
    <x:row r="8" ht="27" customHeight="1">
      <x:c r="A8" s="5" t="str">
        <x:v>FoYes/赴野士</x:v>
      </x:c>
      <x:c r="B8" s="5" t="str">
        <x:v>国内运动营养</x:v>
      </x:c>
      <x:c r="C8" s="5" t="n">
        <x:v>7</x:v>
      </x:c>
      <x:c r="D8" s="5" t="n">
        <x:v>5</x:v>
      </x:c>
      <x:c r="E8" s="5" t="n">
        <x:v>3</x:v>
      </x:c>
      <x:c r="F8" s="5" t="n">
        <x:v>0</x:v>
      </x:c>
      <x:c r="G8" s="5" t="n">
        <x:v>0</x:v>
      </x:c>
      <x:c r="H8" s="6" t="n">
        <x:v>0.023728813559322035</x:v>
      </x:c>
      <x:c r="I8" s="5" t="str">
        <x:v>DeepSeek Q15、豆包 Q11、千问 Q7、千问 Q10、千问 Q11、千问 Q13、千问 Q15</x:v>
      </x:c>
      <x:c r="J8" s="5" t="str">
        <x:v>直接竞对</x:v>
      </x:c>
    </x:row>
    <x:row r="9" ht="27" customHeight="1">
      <x:c r="A9" s="5" t="str">
        <x:v>米当卡</x:v>
      </x:c>
      <x:c r="B9" s="5" t="str">
        <x:v>酵母蛋白</x:v>
      </x:c>
      <x:c r="C9" s="5" t="n">
        <x:v>6</x:v>
      </x:c>
      <x:c r="D9" s="5" t="n">
        <x:v>3</x:v>
      </x:c>
      <x:c r="E9" s="5" t="n">
        <x:v>3</x:v>
      </x:c>
      <x:c r="F9" s="5" t="n">
        <x:v>0</x:v>
      </x:c>
      <x:c r="G9" s="5" t="n">
        <x:v>0</x:v>
      </x:c>
      <x:c r="H9" s="6" t="n">
        <x:v>0.020338983050847456</x:v>
      </x:c>
      <x:c r="I9" s="5" t="str">
        <x:v>豆包 Q4、豆包 Q9、元宝 Q4、元宝 Q14、千问 Q4、千问 Q14</x:v>
      </x:c>
      <x:c r="J9" s="5" t="str">
        <x:v>直接竞对</x:v>
      </x:c>
    </x:row>
    <x:row r="10" ht="27" customHeight="1">
      <x:c r="A10" s="5" t="str">
        <x:v>英之素</x:v>
      </x:c>
      <x:c r="B10" s="5" t="str">
        <x:v>酵母蛋白</x:v>
      </x:c>
      <x:c r="C10" s="5" t="n">
        <x:v>6</x:v>
      </x:c>
      <x:c r="D10" s="5" t="n">
        <x:v>2</x:v>
      </x:c>
      <x:c r="E10" s="5" t="n">
        <x:v>3</x:v>
      </x:c>
      <x:c r="F10" s="5" t="n">
        <x:v>0</x:v>
      </x:c>
      <x:c r="G10" s="5" t="n">
        <x:v>0</x:v>
      </x:c>
      <x:c r="H10" s="6" t="n">
        <x:v>0.020338983050847456</x:v>
      </x:c>
      <x:c r="I10" s="5" t="str">
        <x:v>豆包 Q4、豆包 Q14、元宝 Q4、元宝 Q14、千问 Q4、千问 Q14</x:v>
      </x:c>
      <x:c r="J10" s="5" t="str">
        <x:v>直接竞对</x:v>
      </x:c>
    </x:row>
    <x:row r="11" ht="27" customHeight="1">
      <x:c r="A11" s="5" t="str">
        <x:v>Keep</x:v>
      </x:c>
      <x:c r="B11" s="5" t="str">
        <x:v>运动营养</x:v>
      </x:c>
      <x:c r="C11" s="5" t="n">
        <x:v>5</x:v>
      </x:c>
      <x:c r="D11" s="5" t="n">
        <x:v>5</x:v>
      </x:c>
      <x:c r="E11" s="5" t="n">
        <x:v>2</x:v>
      </x:c>
      <x:c r="F11" s="5" t="n">
        <x:v>0</x:v>
      </x:c>
      <x:c r="G11" s="5" t="n">
        <x:v>0</x:v>
      </x:c>
      <x:c r="H11" s="6" t="n">
        <x:v>0.01694915254237288</x:v>
      </x:c>
      <x:c r="I11" s="5" t="str">
        <x:v>豆包 Q10、豆包 Q12、元宝 Q4、元宝 Q14、元宝 Q15</x:v>
      </x:c>
      <x:c r="J11" s="5" t="str">
        <x:v>直接竞对</x:v>
      </x:c>
    </x:row>
    <x:row r="12" ht="27" customHeight="1">
      <x:c r="A12" s="5" t="str">
        <x:v>三角喵</x:v>
      </x:c>
      <x:c r="B12" s="5" t="str">
        <x:v>酵母蛋白</x:v>
      </x:c>
      <x:c r="C12" s="5" t="n">
        <x:v>5</x:v>
      </x:c>
      <x:c r="D12" s="5" t="n">
        <x:v>2</x:v>
      </x:c>
      <x:c r="E12" s="5" t="n">
        <x:v>4</x:v>
      </x:c>
      <x:c r="F12" s="5" t="n">
        <x:v>0</x:v>
      </x:c>
      <x:c r="G12" s="5" t="n">
        <x:v>0</x:v>
      </x:c>
      <x:c r="H12" s="6" t="n">
        <x:v>0.01694915254237288</x:v>
      </x:c>
      <x:c r="I12" s="5" t="str">
        <x:v>豆包 Q4、元宝 Q4、元宝 Q14、千问 Q4、Kimi Q4</x:v>
      </x:c>
      <x:c r="J12" s="5" t="str">
        <x:v>直接竞对</x:v>
      </x:c>
    </x:row>
    <x:row r="13" ht="27" customHeight="1">
      <x:c r="A13" s="5" t="str">
        <x:v>南巨</x:v>
      </x:c>
      <x:c r="B13" s="5" t="str">
        <x:v>酵母蛋白</x:v>
      </x:c>
      <x:c r="C13" s="5" t="n">
        <x:v>5</x:v>
      </x:c>
      <x:c r="D13" s="5" t="n">
        <x:v>2</x:v>
      </x:c>
      <x:c r="E13" s="5" t="n">
        <x:v>3</x:v>
      </x:c>
      <x:c r="F13" s="5" t="n">
        <x:v>0</x:v>
      </x:c>
      <x:c r="G13" s="5" t="n">
        <x:v>0</x:v>
      </x:c>
      <x:c r="H13" s="6" t="n">
        <x:v>0.01694915254237288</x:v>
      </x:c>
      <x:c r="I13" s="5" t="str">
        <x:v>豆包 Q14、元宝 Q4、元宝 Q14、千问 Q4、千问 Q14</x:v>
      </x:c>
      <x:c r="J13" s="5" t="str">
        <x:v>直接竞对</x:v>
      </x:c>
    </x:row>
    <x:row r="14" ht="27" customHeight="1">
      <x:c r="A14" s="5" t="str">
        <x:v>6星</x:v>
      </x:c>
      <x:c r="B14" s="5" t="str">
        <x:v>运动营养</x:v>
      </x:c>
      <x:c r="C14" s="5" t="n">
        <x:v>4</x:v>
      </x:c>
      <x:c r="D14" s="5" t="n">
        <x:v>4</x:v>
      </x:c>
      <x:c r="E14" s="5" t="n">
        <x:v>2</x:v>
      </x:c>
      <x:c r="F14" s="5" t="n">
        <x:v>0</x:v>
      </x:c>
      <x:c r="G14" s="5" t="n">
        <x:v>0</x:v>
      </x:c>
      <x:c r="H14" s="6" t="n">
        <x:v>0.013559322033898305</x:v>
      </x:c>
      <x:c r="I14" s="5" t="str">
        <x:v>元宝 Q4、元宝 Q9、元宝 Q14、千问 Q12</x:v>
      </x:c>
      <x:c r="J14" s="5" t="str">
        <x:v>直接竞对</x:v>
      </x:c>
    </x:row>
    <x:row r="15" ht="27" customHeight="1">
      <x:c r="A15" s="5" t="str">
        <x:v>元气码头</x:v>
      </x:c>
      <x:c r="B15" s="5" t="str">
        <x:v>酵母蛋白</x:v>
      </x:c>
      <x:c r="C15" s="5" t="n">
        <x:v>4</x:v>
      </x:c>
      <x:c r="D15" s="5" t="n">
        <x:v>3</x:v>
      </x:c>
      <x:c r="E15" s="5" t="n">
        <x:v>4</x:v>
      </x:c>
      <x:c r="F15" s="5" t="n">
        <x:v>0</x:v>
      </x:c>
      <x:c r="G15" s="5" t="n">
        <x:v>0</x:v>
      </x:c>
      <x:c r="H15" s="6" t="n">
        <x:v>0.013559322033898305</x:v>
      </x:c>
      <x:c r="I15" s="5" t="str">
        <x:v>豆包 Q4、元宝 Q14、千问 Q4、Kimi Q9</x:v>
      </x:c>
      <x:c r="J15" s="5" t="str">
        <x:v>直接竞对</x:v>
      </x:c>
    </x:row>
    <x:row r="16" ht="27" customHeight="1">
      <x:c r="A16" s="5" t="str">
        <x:v>爱兰纯</x:v>
      </x:c>
      <x:c r="B16" s="5" t="str">
        <x:v>酵母蛋白</x:v>
      </x:c>
      <x:c r="C16" s="5" t="n">
        <x:v>2</x:v>
      </x:c>
      <x:c r="D16" s="5" t="n">
        <x:v>2</x:v>
      </x:c>
      <x:c r="E16" s="5" t="n">
        <x:v>2</x:v>
      </x:c>
      <x:c r="F16" s="5" t="n">
        <x:v>0</x:v>
      </x:c>
      <x:c r="G16" s="5" t="n">
        <x:v>0</x:v>
      </x:c>
      <x:c r="H16" s="6" t="n">
        <x:v>0.006779661016949152</x:v>
      </x:c>
      <x:c r="I16" s="5" t="str">
        <x:v>豆包 Q4、元宝 Q14</x:v>
      </x:c>
      <x:c r="J16" s="5" t="str">
        <x:v>直接竞对</x:v>
      </x:c>
    </x:row>
    <x:row r="17" ht="27" customHeight="1">
      <x:c r="A17" s="5" t="str">
        <x:v>健盾</x:v>
      </x:c>
      <x:c r="B17" s="5" t="str">
        <x:v>酵母蛋白</x:v>
      </x:c>
      <x:c r="C17" s="5" t="n">
        <x:v>1</x:v>
      </x:c>
      <x:c r="D17" s="5" t="n">
        <x:v>1</x:v>
      </x:c>
      <x:c r="E17" s="5" t="n">
        <x:v>1</x:v>
      </x:c>
      <x:c r="F17" s="5" t="n">
        <x:v>0</x:v>
      </x:c>
      <x:c r="G17" s="5" t="n">
        <x:v>0</x:v>
      </x:c>
      <x:c r="H17" s="6" t="n">
        <x:v>0.003389830508474576</x:v>
      </x:c>
      <x:c r="I17" s="5" t="str">
        <x:v>豆包 Q4</x:v>
      </x:c>
      <x:c r="J17" s="5" t="str">
        <x:v>直接竞对</x:v>
      </x:c>
    </x:row>
    <x:row r="18" ht="27" customHeight="1">
      <x:c r="A18" s="5" t="str">
        <x:v>清晨鹿</x:v>
      </x:c>
      <x:c r="B18" s="5" t="str">
        <x:v>酵母蛋白</x:v>
      </x:c>
      <x:c r="C18" s="5" t="n">
        <x:v>1</x:v>
      </x:c>
      <x:c r="D18" s="5" t="n">
        <x:v>1</x:v>
      </x:c>
      <x:c r="E18" s="5" t="n">
        <x:v>1</x:v>
      </x:c>
      <x:c r="F18" s="5" t="n">
        <x:v>0</x:v>
      </x:c>
      <x:c r="G18" s="5" t="n">
        <x:v>0</x:v>
      </x:c>
      <x:c r="H18" s="6" t="n">
        <x:v>0.003389830508474576</x:v>
      </x:c>
      <x:c r="I18" s="5" t="str">
        <x:v>豆包 Q4</x:v>
      </x:c>
      <x:c r="J18" s="5" t="str">
        <x:v>直接竞对</x:v>
      </x:c>
    </x:row>
    <x:row r="19" ht="27" customHeight="1">
      <x:c r="A19" s="5" t="str">
        <x:v>魔法黑钻</x:v>
      </x:c>
      <x:c r="B19" s="5" t="str">
        <x:v>酵母蛋白</x:v>
      </x:c>
      <x:c r="C19" s="5" t="n">
        <x:v>1</x:v>
      </x:c>
      <x:c r="D19" s="5" t="n">
        <x:v>1</x:v>
      </x:c>
      <x:c r="E19" s="5" t="n">
        <x:v>1</x:v>
      </x:c>
      <x:c r="F19" s="5" t="n">
        <x:v>0</x:v>
      </x:c>
      <x:c r="G19" s="5" t="n">
        <x:v>0</x:v>
      </x:c>
      <x:c r="H19" s="6" t="n">
        <x:v>0.003389830508474576</x:v>
      </x:c>
      <x:c r="I19" s="5" t="str">
        <x:v>元宝 Q14</x:v>
      </x:c>
      <x:c r="J19" s="5" t="str">
        <x:v>直接竞对</x:v>
      </x:c>
    </x:row>
    <x:row r="20" ht="27" customHeight="1">
      <x:c r="A20" s="5" t="str">
        <x:v>动能加</x:v>
      </x:c>
      <x:c r="B20" s="5" t="str">
        <x:v>运动营养</x:v>
      </x:c>
      <x:c r="C20" s="5" t="n">
        <x:v>1</x:v>
      </x:c>
      <x:c r="D20" s="5" t="n">
        <x:v>1</x:v>
      </x:c>
      <x:c r="E20" s="5" t="n">
        <x:v>1</x:v>
      </x:c>
      <x:c r="F20" s="5" t="n">
        <x:v>0</x:v>
      </x:c>
      <x:c r="G20" s="5" t="n">
        <x:v>0</x:v>
      </x:c>
      <x:c r="H20" s="6" t="n">
        <x:v>0.003389830508474576</x:v>
      </x:c>
      <x:c r="I20" s="5" t="str">
        <x:v>元宝 Q14</x:v>
      </x:c>
      <x:c r="J20" s="5" t="str">
        <x:v>直接竞对</x:v>
      </x:c>
    </x:row>
    <x:row r="21" ht="27" customHeight="1">
      <x:c r="A21" s="5" t="str">
        <x:v>ON/欧普特蒙</x:v>
      </x:c>
      <x:c r="B21" s="5" t="str">
        <x:v>国际运动营养</x:v>
      </x:c>
      <x:c r="C21" s="5" t="n">
        <x:v>21</x:v>
      </x:c>
      <x:c r="D21" s="5" t="n">
        <x:v>8</x:v>
      </x:c>
      <x:c r="E21" s="5" t="n">
        <x:v>5</x:v>
      </x:c>
      <x:c r="F21" s="5" t="n">
        <x:v>0</x:v>
      </x:c>
      <x:c r="G21" s="5" t="n">
        <x:v>0</x:v>
      </x:c>
      <x:c r="H21" s="6" t="n">
        <x:v>0.0711864406779661</x:v>
      </x:c>
      <x:c r="I21" s="5" t="str">
        <x:v>DeepSeek Q5、DeepSeek Q7、DeepSeek Q8、DeepSeek Q10、DeepSeek Q12、DeepSeek Q13、豆包 Q7、豆包 Q8、豆包 Q10、豆包 Q12、豆包 Q13、元宝 Q10</x:v>
      </x:c>
      <x:c r="J21" s="5" t="str">
        <x:v>其他对照品牌</x:v>
      </x:c>
    </x:row>
    <x:row r="22" ht="27" customHeight="1">
      <x:c r="A22" s="5" t="str">
        <x:v>诺特兰德</x:v>
      </x:c>
      <x:c r="B22" s="5" t="str">
        <x:v>国内运动营养</x:v>
      </x:c>
      <x:c r="C22" s="5" t="n">
        <x:v>19</x:v>
      </x:c>
      <x:c r="D22" s="5" t="n">
        <x:v>7</x:v>
      </x:c>
      <x:c r="E22" s="5" t="n">
        <x:v>5</x:v>
      </x:c>
      <x:c r="F22" s="5" t="n">
        <x:v>1</x:v>
      </x:c>
      <x:c r="G22" s="5" t="n">
        <x:v>0</x:v>
      </x:c>
      <x:c r="H22" s="6" t="n">
        <x:v>0.06440677966101695</x:v>
      </x:c>
      <x:c r="I22" s="5" t="str">
        <x:v>DeepSeek Q7、DeepSeek Q9、DeepSeek Q10、DeepSeek Q11、DeepSeek Q15、豆包 Q7、豆包 Q15、元宝 Q9、元宝 Q11、元宝 Q12、元宝 Q15、千问 Q10</x:v>
      </x:c>
      <x:c r="J22" s="5" t="str">
        <x:v>其他对照品牌</x:v>
      </x:c>
    </x:row>
    <x:row r="23" ht="27" customHeight="1">
      <x:c r="A23" s="5" t="str">
        <x:v>Myprotein</x:v>
      </x:c>
      <x:c r="B23" s="5" t="str">
        <x:v>国际运动营养</x:v>
      </x:c>
      <x:c r="C23" s="5" t="n">
        <x:v>18</x:v>
      </x:c>
      <x:c r="D23" s="5" t="n">
        <x:v>8</x:v>
      </x:c>
      <x:c r="E23" s="5" t="n">
        <x:v>5</x:v>
      </x:c>
      <x:c r="F23" s="5" t="n">
        <x:v>0</x:v>
      </x:c>
      <x:c r="G23" s="5" t="n">
        <x:v>0</x:v>
      </x:c>
      <x:c r="H23" s="6" t="n">
        <x:v>0.061016949152542375</x:v>
      </x:c>
      <x:c r="I23" s="5" t="str">
        <x:v>DeepSeek Q5、DeepSeek Q7、DeepSeek Q8、DeepSeek Q9、DeepSeek Q10、DeepSeek Q12、DeepSeek Q13、豆包 Q7、豆包 Q13、元宝 Q10、元宝 Q12、元宝 Q13</x:v>
      </x:c>
      <x:c r="J23" s="5" t="str">
        <x:v>其他对照品牌</x:v>
      </x:c>
    </x:row>
    <x:row r="24" ht="27" customHeight="1">
      <x:c r="A24" s="5" t="str">
        <x:v>京东京造</x:v>
      </x:c>
      <x:c r="B24" s="5" t="str">
        <x:v>其他</x:v>
      </x:c>
      <x:c r="C24" s="5" t="n">
        <x:v>13</x:v>
      </x:c>
      <x:c r="D24" s="5" t="n">
        <x:v>8</x:v>
      </x:c>
      <x:c r="E24" s="5" t="n">
        <x:v>5</x:v>
      </x:c>
      <x:c r="F24" s="5" t="n">
        <x:v>0</x:v>
      </x:c>
      <x:c r="G24" s="5" t="n">
        <x:v>0</x:v>
      </x:c>
      <x:c r="H24" s="6" t="n">
        <x:v>0.04406779661016949</x:v>
      </x:c>
      <x:c r="I24" s="5" t="str">
        <x:v>DeepSeek Q3、DeepSeek Q9、DeepSeek Q12、DeepSeek Q14、豆包 Q7、豆包 Q12、元宝 Q14、千问 Q4、千问 Q11、千问 Q13、千问 Q14、Kimi Q4</x:v>
      </x:c>
      <x:c r="J24" s="5" t="str">
        <x:v>其他对照品牌</x:v>
      </x:c>
    </x:row>
    <x:row r="25" ht="27" customHeight="1">
      <x:c r="A25" s="5" t="str">
        <x:v>汤臣倍健</x:v>
      </x:c>
      <x:c r="B25" s="5" t="str">
        <x:v>其他</x:v>
      </x:c>
      <x:c r="C25" s="5" t="n">
        <x:v>12</x:v>
      </x:c>
      <x:c r="D25" s="5" t="n">
        <x:v>5</x:v>
      </x:c>
      <x:c r="E25" s="5" t="n">
        <x:v>5</x:v>
      </x:c>
      <x:c r="F25" s="5" t="n">
        <x:v>1</x:v>
      </x:c>
      <x:c r="G25" s="5" t="n">
        <x:v>0</x:v>
      </x:c>
      <x:c r="H25" s="6" t="n">
        <x:v>0.04067796610169491</x:v>
      </x:c>
      <x:c r="I25" s="5" t="str">
        <x:v>DeepSeek Q7、DeepSeek Q11、DeepSeek Q15、豆包 Q11、元宝 Q11、元宝 Q15、千问 Q7、千问 Q9、千问 Q11、千问 Q13、Kimi Q9、Kimi Q11</x:v>
      </x:c>
      <x:c r="J25" s="5" t="str">
        <x:v>其他对照品牌</x:v>
      </x:c>
    </x:row>
    <x:row r="26" ht="27" customHeight="1">
      <x:c r="A26" s="5" t="str">
        <x:v>安琪纽特</x:v>
      </x:c>
      <x:c r="B26" s="5" t="str">
        <x:v>酵母蛋白</x:v>
      </x:c>
      <x:c r="C26" s="5" t="n">
        <x:v>10</x:v>
      </x:c>
      <x:c r="D26" s="5" t="n">
        <x:v>4</x:v>
      </x:c>
      <x:c r="E26" s="5" t="n">
        <x:v>4</x:v>
      </x:c>
      <x:c r="F26" s="5" t="n">
        <x:v>1</x:v>
      </x:c>
      <x:c r="G26" s="5" t="n">
        <x:v>1</x:v>
      </x:c>
      <x:c r="H26" s="6" t="n">
        <x:v>0.03389830508474576</x:v>
      </x:c>
      <x:c r="I26" s="5" t="str">
        <x:v>DeepSeek Q3、DeepSeek Q4、DeepSeek Q11、DeepSeek Q14、元宝 Q4、元宝 Q14、千问 Q4、千问 Q14、Kimi Q4、Kimi Q11</x:v>
      </x:c>
      <x:c r="J26" s="5" t="str">
        <x:v>其他对照品牌</x:v>
      </x:c>
    </x:row>
    <x:row r="27" ht="27" customHeight="1">
      <x:c r="A27" s="5" t="str">
        <x:v>狄马泰斯</x:v>
      </x:c>
      <x:c r="B27" s="5" t="str">
        <x:v>国际运动营养</x:v>
      </x:c>
      <x:c r="C27" s="5" t="n">
        <x:v>7</x:v>
      </x:c>
      <x:c r="D27" s="5" t="n">
        <x:v>6</x:v>
      </x:c>
      <x:c r="E27" s="5" t="n">
        <x:v>3</x:v>
      </x:c>
      <x:c r="F27" s="5" t="n">
        <x:v>0</x:v>
      </x:c>
      <x:c r="G27" s="5" t="n">
        <x:v>0</x:v>
      </x:c>
      <x:c r="H27" s="6" t="n">
        <x:v>0.023728813559322035</x:v>
      </x:c>
      <x:c r="I27" s="5" t="str">
        <x:v>DeepSeek Q5、DeepSeek Q8、DeepSeek Q10、DeepSeek Q13、元宝 Q10、元宝 Q12、Kimi Q7</x:v>
      </x:c>
      <x:c r="J27" s="5" t="str">
        <x:v>其他对照品牌</x:v>
      </x:c>
    </x:row>
    <x:row r="28" ht="27" customHeight="1">
      <x:c r="A28" s="5" t="str">
        <x:v>潘海威元</x:v>
      </x:c>
      <x:c r="B28" s="5" t="str">
        <x:v>其他</x:v>
      </x:c>
      <x:c r="C28" s="5" t="n">
        <x:v>7</x:v>
      </x:c>
      <x:c r="D28" s="5" t="n">
        <x:v>5</x:v>
      </x:c>
      <x:c r="E28" s="5" t="n">
        <x:v>2</x:v>
      </x:c>
      <x:c r="F28" s="5" t="n">
        <x:v>0</x:v>
      </x:c>
      <x:c r="G28" s="5" t="n">
        <x:v>0</x:v>
      </x:c>
      <x:c r="H28" s="6" t="n">
        <x:v>0.023728813559322035</x:v>
      </x:c>
      <x:c r="I28" s="5" t="str">
        <x:v>千问 Q9、千问 Q10、千问 Q11、千问 Q12、千问 Q15、Kimi Q10、Kimi Q11</x:v>
      </x:c>
      <x:c r="J28" s="5" t="str">
        <x:v>其他对照品牌</x:v>
      </x:c>
    </x:row>
    <x:row r="29" ht="27" customHeight="1">
      <x:c r="A29" s="5" t="str">
        <x:v>肌肉科技</x:v>
      </x:c>
      <x:c r="B29" s="5" t="str">
        <x:v>国际运动营养</x:v>
      </x:c>
      <x:c r="C29" s="5" t="n">
        <x:v>7</x:v>
      </x:c>
      <x:c r="D29" s="5" t="n">
        <x:v>4</x:v>
      </x:c>
      <x:c r="E29" s="5" t="n">
        <x:v>4</x:v>
      </x:c>
      <x:c r="F29" s="5" t="n">
        <x:v>0</x:v>
      </x:c>
      <x:c r="G29" s="5" t="n">
        <x:v>0</x:v>
      </x:c>
      <x:c r="H29" s="6" t="n">
        <x:v>0.023728813559322035</x:v>
      </x:c>
      <x:c r="I29" s="5" t="str">
        <x:v>DeepSeek Q7、DeepSeek Q12、豆包 Q12、千问 Q12、千问 Q13、Kimi Q7、Kimi Q9</x:v>
      </x:c>
      <x:c r="J29" s="5" t="str">
        <x:v>其他对照品牌</x:v>
      </x:c>
    </x:row>
    <x:row r="30" ht="27" customHeight="1">
      <x:c r="A30" s="5" t="str">
        <x:v>紫光优健</x:v>
      </x:c>
      <x:c r="B30" s="5" t="str">
        <x:v>国内运动营养</x:v>
      </x:c>
      <x:c r="C30" s="5" t="n">
        <x:v>5</x:v>
      </x:c>
      <x:c r="D30" s="5" t="n">
        <x:v>4</x:v>
      </x:c>
      <x:c r="E30" s="5" t="n">
        <x:v>2</x:v>
      </x:c>
      <x:c r="F30" s="5" t="n">
        <x:v>0</x:v>
      </x:c>
      <x:c r="G30" s="5" t="n">
        <x:v>0</x:v>
      </x:c>
      <x:c r="H30" s="6" t="n">
        <x:v>0.01694915254237288</x:v>
      </x:c>
      <x:c r="I30" s="5" t="str">
        <x:v>豆包 Q7、豆包 Q10、豆包 Q11、豆包 Q15、Kimi Q11</x:v>
      </x:c>
      <x:c r="J30" s="5" t="str">
        <x:v>其他对照品牌</x:v>
      </x:c>
    </x:row>
    <x:row r="31" ht="27" customHeight="1">
      <x:c r="A31" s="5" t="str">
        <x:v>训练怪兽</x:v>
      </x:c>
      <x:c r="B31" s="5" t="str">
        <x:v>国内运动营养</x:v>
      </x:c>
      <x:c r="C31" s="5" t="n">
        <x:v>5</x:v>
      </x:c>
      <x:c r="D31" s="5" t="n">
        <x:v>3</x:v>
      </x:c>
      <x:c r="E31" s="5" t="n">
        <x:v>3</x:v>
      </x:c>
      <x:c r="F31" s="5" t="n">
        <x:v>0</x:v>
      </x:c>
      <x:c r="G31" s="5" t="n">
        <x:v>0</x:v>
      </x:c>
      <x:c r="H31" s="6" t="n">
        <x:v>0.01694915254237288</x:v>
      </x:c>
      <x:c r="I31" s="5" t="str">
        <x:v>豆包 Q11、豆包 Q15、元宝 Q15、千问 Q13、千问 Q15</x:v>
      </x:c>
      <x:c r="J31" s="5" t="str">
        <x:v>其他对照品牌</x:v>
      </x:c>
    </x:row>
    <x:row r="32" ht="27" customHeight="1">
      <x:c r="A32" s="5" t="str">
        <x:v>康恩贝</x:v>
      </x:c>
      <x:c r="B32" s="5" t="str">
        <x:v>其他</x:v>
      </x:c>
      <x:c r="C32" s="5" t="n">
        <x:v>5</x:v>
      </x:c>
      <x:c r="D32" s="5" t="n">
        <x:v>3</x:v>
      </x:c>
      <x:c r="E32" s="5" t="n">
        <x:v>3</x:v>
      </x:c>
      <x:c r="F32" s="5" t="n">
        <x:v>0</x:v>
      </x:c>
      <x:c r="G32" s="5" t="n">
        <x:v>0</x:v>
      </x:c>
      <x:c r="H32" s="6" t="n">
        <x:v>0.01694915254237288</x:v>
      </x:c>
      <x:c r="I32" s="5" t="str">
        <x:v>DeepSeek Q9、DeepSeek Q11、DeepSeek Q15、豆包 Q9、元宝 Q11</x:v>
      </x:c>
      <x:c r="J32" s="5" t="str">
        <x:v>其他对照品牌</x:v>
      </x:c>
    </x:row>
    <x:row r="33" ht="27" customHeight="1">
      <x:c r="A33" s="5" t="str">
        <x:v>健乐多</x:v>
      </x:c>
      <x:c r="B33" s="5" t="str">
        <x:v>国内运动营养</x:v>
      </x:c>
      <x:c r="C33" s="5" t="n">
        <x:v>4</x:v>
      </x:c>
      <x:c r="D33" s="5" t="n">
        <x:v>4</x:v>
      </x:c>
      <x:c r="E33" s="5" t="n">
        <x:v>2</x:v>
      </x:c>
      <x:c r="F33" s="5" t="n">
        <x:v>1</x:v>
      </x:c>
      <x:c r="G33" s="5" t="n">
        <x:v>0</x:v>
      </x:c>
      <x:c r="H33" s="6" t="n">
        <x:v>0.013559322033898305</x:v>
      </x:c>
      <x:c r="I33" s="5" t="str">
        <x:v>豆包 Q11、元宝 Q9、元宝 Q12、元宝 Q15</x:v>
      </x:c>
      <x:c r="J33" s="5" t="str">
        <x:v>其他对照品牌</x:v>
      </x:c>
    </x:row>
    <x:row r="34" ht="27" customHeight="1">
      <x:c r="A34" s="5" t="str">
        <x:v>迈胜</x:v>
      </x:c>
      <x:c r="B34" s="5" t="str">
        <x:v>国内运动营养</x:v>
      </x:c>
      <x:c r="C34" s="5" t="n">
        <x:v>4</x:v>
      </x:c>
      <x:c r="D34" s="5" t="n">
        <x:v>1</x:v>
      </x:c>
      <x:c r="E34" s="5" t="n">
        <x:v>4</x:v>
      </x:c>
      <x:c r="F34" s="5" t="n">
        <x:v>1</x:v>
      </x:c>
      <x:c r="G34" s="5" t="n">
        <x:v>0</x:v>
      </x:c>
      <x:c r="H34" s="6" t="n">
        <x:v>0.013559322033898305</x:v>
      </x:c>
      <x:c r="I34" s="5" t="str">
        <x:v>DeepSeek Q15、豆包 Q15、元宝 Q15、千问 Q15</x:v>
      </x:c>
      <x:c r="J34" s="5" t="str">
        <x:v>其他对照品牌</x:v>
      </x:c>
    </x:row>
    <x:row r="35" ht="27" customHeight="1">
      <x:c r="A35" s="5" t="str">
        <x:v>赤大师</x:v>
      </x:c>
      <x:c r="B35" s="5" t="str">
        <x:v>其他</x:v>
      </x:c>
      <x:c r="C35" s="5" t="n">
        <x:v>3</x:v>
      </x:c>
      <x:c r="D35" s="5" t="n">
        <x:v>3</x:v>
      </x:c>
      <x:c r="E35" s="5" t="n">
        <x:v>1</x:v>
      </x:c>
      <x:c r="F35" s="5" t="n">
        <x:v>0</x:v>
      </x:c>
      <x:c r="G35" s="5" t="n">
        <x:v>0</x:v>
      </x:c>
      <x:c r="H35" s="6" t="n">
        <x:v>0.010169491525423728</x:v>
      </x:c>
      <x:c r="I35" s="5" t="str">
        <x:v>千问 Q9、千问 Q10、千问 Q12</x:v>
      </x:c>
      <x:c r="J35" s="5" t="str">
        <x:v>其他对照品牌</x:v>
      </x:c>
    </x:row>
    <x:row r="36" ht="27" customHeight="1">
      <x:c r="A36" s="5" t="str">
        <x:v>ffit8</x:v>
      </x:c>
      <x:c r="B36" s="5" t="str">
        <x:v>其他</x:v>
      </x:c>
      <x:c r="C36" s="5" t="n">
        <x:v>3</x:v>
      </x:c>
      <x:c r="D36" s="5" t="n">
        <x:v>2</x:v>
      </x:c>
      <x:c r="E36" s="5" t="n">
        <x:v>2</x:v>
      </x:c>
      <x:c r="F36" s="5" t="n">
        <x:v>1</x:v>
      </x:c>
      <x:c r="G36" s="5" t="n">
        <x:v>0</x:v>
      </x:c>
      <x:c r="H36" s="6" t="n">
        <x:v>0.010169491525423728</x:v>
      </x:c>
      <x:c r="I36" s="5" t="str">
        <x:v>DeepSeek Q4、元宝 Q4、元宝 Q15</x:v>
      </x:c>
      <x:c r="J36" s="5" t="str">
        <x:v>其他对照品牌</x:v>
      </x:c>
    </x:row>
    <x:row r="37" ht="27" customHeight="1">
      <x:c r="A37" s="5" t="str">
        <x:v>马泰时刻</x:v>
      </x:c>
      <x:c r="B37" s="5" t="str">
        <x:v>国内运动营养</x:v>
      </x:c>
      <x:c r="C37" s="5" t="n">
        <x:v>2</x:v>
      </x:c>
      <x:c r="D37" s="5" t="n">
        <x:v>2</x:v>
      </x:c>
      <x:c r="E37" s="5" t="n">
        <x:v>2</x:v>
      </x:c>
      <x:c r="F37" s="5" t="n">
        <x:v>0</x:v>
      </x:c>
      <x:c r="G37" s="5" t="n">
        <x:v>0</x:v>
      </x:c>
      <x:c r="H37" s="6" t="n">
        <x:v>0.006779661016949152</x:v>
      </x:c>
      <x:c r="I37" s="5" t="str">
        <x:v>元宝 Q4、Kimi Q11</x:v>
      </x:c>
      <x:c r="J37" s="5" t="str">
        <x:v>其他对照品牌</x:v>
      </x:c>
    </x:row>
    <x:row r="38" ht="27" customHeight="1">
      <x:c r="A38" s="5" t="str">
        <x:v>元素力量</x:v>
      </x:c>
      <x:c r="B38" s="5" t="str">
        <x:v>国内运动营养</x:v>
      </x:c>
      <x:c r="C38" s="5" t="n">
        <x:v>2</x:v>
      </x:c>
      <x:c r="D38" s="5" t="n">
        <x:v>2</x:v>
      </x:c>
      <x:c r="E38" s="5" t="n">
        <x:v>1</x:v>
      </x:c>
      <x:c r="F38" s="5" t="n">
        <x:v>0</x:v>
      </x:c>
      <x:c r="G38" s="5" t="n">
        <x:v>0</x:v>
      </x:c>
      <x:c r="H38" s="6" t="n">
        <x:v>0.006779661016949152</x:v>
      </x:c>
      <x:c r="I38" s="5" t="str">
        <x:v>DeepSeek Q11、DeepSeek Q15</x:v>
      </x:c>
      <x:c r="J38" s="5" t="str">
        <x:v>其他对照品牌</x:v>
      </x:c>
    </x:row>
    <x:row r="39" ht="27" customHeight="1">
      <x:c r="A39" s="5" t="str">
        <x:v>Now Foods</x:v>
      </x:c>
      <x:c r="B39" s="5" t="str">
        <x:v>国际运动营养</x:v>
      </x:c>
      <x:c r="C39" s="5" t="n">
        <x:v>2</x:v>
      </x:c>
      <x:c r="D39" s="5" t="n">
        <x:v>2</x:v>
      </x:c>
      <x:c r="E39" s="5" t="n">
        <x:v>1</x:v>
      </x:c>
      <x:c r="F39" s="5" t="n">
        <x:v>0</x:v>
      </x:c>
      <x:c r="G39" s="5" t="n">
        <x:v>0</x:v>
      </x:c>
      <x:c r="H39" s="6" t="n">
        <x:v>0.006779661016949152</x:v>
      </x:c>
      <x:c r="I39" s="5" t="str">
        <x:v>千问 Q4、千问 Q14</x:v>
      </x:c>
      <x:c r="J39" s="5" t="str">
        <x:v>其他对照品牌</x:v>
      </x:c>
    </x:row>
    <x:row r="40" ht="27" customHeight="1">
      <x:c r="A40" s="5" t="str">
        <x:v>JGGONDON/剑盾</x:v>
      </x:c>
      <x:c r="B40" s="5" t="str">
        <x:v>酵母蛋白</x:v>
      </x:c>
      <x:c r="C40" s="5" t="n">
        <x:v>1</x:v>
      </x:c>
      <x:c r="D40" s="5" t="n">
        <x:v>1</x:v>
      </x:c>
      <x:c r="E40" s="5" t="n">
        <x:v>1</x:v>
      </x:c>
      <x:c r="F40" s="5" t="n">
        <x:v>0</x:v>
      </x:c>
      <x:c r="G40" s="5" t="n">
        <x:v>0</x:v>
      </x:c>
      <x:c r="H40" s="6" t="n">
        <x:v>0.003389830508474576</x:v>
      </x:c>
      <x:c r="I40" s="5" t="str">
        <x:v>千问 Q4</x:v>
      </x:c>
      <x:c r="J40" s="5" t="str">
        <x:v>其他对照品牌</x:v>
      </x:c>
    </x:row>
    <x:row r="41" ht="27" customHeight="1">
      <x:c r="A41" s="5" t="str">
        <x:v>肌肉巅峰</x:v>
      </x:c>
      <x:c r="B41" s="5" t="str">
        <x:v>国内运动营养</x:v>
      </x:c>
      <x:c r="C41" s="5" t="n">
        <x:v>1</x:v>
      </x:c>
      <x:c r="D41" s="5" t="n">
        <x:v>1</x:v>
      </x:c>
      <x:c r="E41" s="5" t="n">
        <x:v>1</x:v>
      </x:c>
      <x:c r="F41" s="5" t="n">
        <x:v>0</x:v>
      </x:c>
      <x:c r="G41" s="5" t="n">
        <x:v>0</x:v>
      </x:c>
      <x:c r="H41" s="6" t="n">
        <x:v>0.003389830508474576</x:v>
      </x:c>
      <x:c r="I41" s="5" t="str">
        <x:v>千问 Q15</x:v>
      </x:c>
      <x:c r="J41" s="5" t="str">
        <x:v>其他对照品牌</x:v>
      </x:c>
    </x:row>
    <x:row r="42" ht="27" customHeight="1">
      <x:c r="A42" s="5" t="str">
        <x:v>优恩</x:v>
      </x:c>
      <x:c r="B42" s="5" t="str">
        <x:v>国内运动营养</x:v>
      </x:c>
      <x:c r="C42" s="5" t="n">
        <x:v>1</x:v>
      </x:c>
      <x:c r="D42" s="5" t="n">
        <x:v>1</x:v>
      </x:c>
      <x:c r="E42" s="5" t="n">
        <x:v>1</x:v>
      </x:c>
      <x:c r="F42" s="5" t="n">
        <x:v>0</x:v>
      </x:c>
      <x:c r="G42" s="5" t="n">
        <x:v>0</x:v>
      </x:c>
      <x:c r="H42" s="6" t="n">
        <x:v>0.003389830508474576</x:v>
      </x:c>
      <x:c r="I42" s="5" t="str">
        <x:v>DeepSeek Q11</x:v>
      </x:c>
      <x:c r="J42" s="5" t="str">
        <x:v>其他对照品牌</x:v>
      </x:c>
    </x:row>
    <x:row r="43" ht="27" customHeight="1">
      <x:c r="A43" s="5" t="str">
        <x:v>Hot Rule</x:v>
      </x:c>
      <x:c r="B43" s="5" t="str">
        <x:v>国内运动营养</x:v>
      </x:c>
      <x:c r="C43" s="5" t="n">
        <x:v>1</x:v>
      </x:c>
      <x:c r="D43" s="5" t="n">
        <x:v>1</x:v>
      </x:c>
      <x:c r="E43" s="5" t="n">
        <x:v>1</x:v>
      </x:c>
      <x:c r="F43" s="5" t="n">
        <x:v>0</x:v>
      </x:c>
      <x:c r="G43" s="5" t="n">
        <x:v>0</x:v>
      </x:c>
      <x:c r="H43" s="6" t="n">
        <x:v>0.003389830508474576</x:v>
      </x:c>
      <x:c r="I43" s="5" t="str">
        <x:v>千问 Q13</x:v>
      </x:c>
      <x:c r="J43" s="5" t="str">
        <x:v>其他对照品牌</x:v>
      </x:c>
    </x:row>
    <x:row r="44" ht="27" customHeight="1">
      <x:c r="A44" s="5" t="str">
        <x:v>江中</x:v>
      </x:c>
      <x:c r="B44" s="5" t="str">
        <x:v>其他</x:v>
      </x:c>
      <x:c r="C44" s="5" t="n">
        <x:v>1</x:v>
      </x:c>
      <x:c r="D44" s="5" t="n">
        <x:v>1</x:v>
      </x:c>
      <x:c r="E44" s="5" t="n">
        <x:v>1</x:v>
      </x:c>
      <x:c r="F44" s="5" t="n">
        <x:v>0</x:v>
      </x:c>
      <x:c r="G44" s="5" t="n">
        <x:v>0</x:v>
      </x:c>
      <x:c r="H44" s="6" t="n">
        <x:v>0.003389830508474576</x:v>
      </x:c>
      <x:c r="I44" s="5" t="str">
        <x:v>DeepSeek Q9</x:v>
      </x:c>
      <x:c r="J44" s="5" t="str">
        <x:v>其他对照品牌</x:v>
      </x:c>
    </x:row>
    <x:row r="45" ht="27" customHeight="1">
      <x:c r="A45" s="5" t="str">
        <x:v>BSN</x:v>
      </x:c>
      <x:c r="B45" s="5" t="str">
        <x:v>国际运动营养</x:v>
      </x:c>
      <x:c r="C45" s="5" t="n">
        <x:v>1</x:v>
      </x:c>
      <x:c r="D45" s="5" t="n">
        <x:v>1</x:v>
      </x:c>
      <x:c r="E45" s="5" t="n">
        <x:v>1</x:v>
      </x:c>
      <x:c r="F45" s="5" t="n">
        <x:v>0</x:v>
      </x:c>
      <x:c r="G45" s="5" t="n">
        <x:v>0</x:v>
      </x:c>
      <x:c r="H45" s="6" t="n">
        <x:v>0.003389830508474576</x:v>
      </x:c>
      <x:c r="I45" s="5" t="str">
        <x:v>DeepSeek Q13</x:v>
      </x:c>
      <x:c r="J45" s="5" t="str">
        <x:v>其他对照品牌</x:v>
      </x:c>
    </x:row>
    <x:row r="46" ht="27" customHeight="1">
      <x:c r="A46" s="5" t="str">
        <x:v>ALLMAX</x:v>
      </x:c>
      <x:c r="B46" s="5" t="str">
        <x:v>国际运动营养</x:v>
      </x:c>
      <x:c r="C46" s="5" t="n">
        <x:v>1</x:v>
      </x:c>
      <x:c r="D46" s="5" t="n">
        <x:v>1</x:v>
      </x:c>
      <x:c r="E46" s="5" t="n">
        <x:v>1</x:v>
      </x:c>
      <x:c r="F46" s="5" t="n">
        <x:v>0</x:v>
      </x:c>
      <x:c r="G46" s="5" t="n">
        <x:v>0</x:v>
      </x:c>
      <x:c r="H46" s="6" t="n">
        <x:v>0.003389830508474576</x:v>
      </x:c>
      <x:c r="I46" s="5" t="str">
        <x:v>Kimi Q10</x:v>
      </x:c>
      <x:c r="J46" s="5" t="str">
        <x:v>其他对照品牌</x:v>
      </x:c>
    </x:row>
    <x:row r="47" ht="27" customHeight="1">
      <x:c r="A47" s="5" t="str">
        <x:v>GHOST</x:v>
      </x:c>
      <x:c r="B47" s="5" t="str">
        <x:v>国际运动营养</x:v>
      </x:c>
      <x:c r="C47" s="5" t="n">
        <x:v>1</x:v>
      </x:c>
      <x:c r="D47" s="5" t="n">
        <x:v>1</x:v>
      </x:c>
      <x:c r="E47" s="5" t="n">
        <x:v>1</x:v>
      </x:c>
      <x:c r="F47" s="5" t="n">
        <x:v>0</x:v>
      </x:c>
      <x:c r="G47" s="5" t="n">
        <x:v>0</x:v>
      </x:c>
      <x:c r="H47" s="6" t="n">
        <x:v>0.003389830508474576</x:v>
      </x:c>
      <x:c r="I47" s="5" t="str">
        <x:v>DeepSeek Q13</x:v>
      </x:c>
      <x:c r="J47" s="5" t="str">
        <x:v>其他对照品牌</x:v>
      </x:c>
    </x:row>
    <x:row r="48" ht="27" customHeight="1">
      <x:c r="A48" s="5" t="str">
        <x:v>Nutricost</x:v>
      </x:c>
      <x:c r="B48" s="5" t="str">
        <x:v>国际运动营养</x:v>
      </x:c>
      <x:c r="C48" s="5" t="n">
        <x:v>1</x:v>
      </x:c>
      <x:c r="D48" s="5" t="n">
        <x:v>1</x:v>
      </x:c>
      <x:c r="E48" s="5" t="n">
        <x:v>1</x:v>
      </x:c>
      <x:c r="F48" s="5" t="n">
        <x:v>0</x:v>
      </x:c>
      <x:c r="G48" s="5" t="n">
        <x:v>0</x:v>
      </x:c>
      <x:c r="H48" s="6" t="n">
        <x:v>0.003389830508474576</x:v>
      </x:c>
      <x:c r="I48" s="5" t="str">
        <x:v>DeepSeek Q10</x:v>
      </x:c>
      <x:c r="J48" s="5" t="str">
        <x:v>其他对照品牌</x:v>
      </x:c>
    </x:row>
    <x:row r="49" ht="27" customHeight="1">
      <x:c r="A49" s="5" t="str">
        <x:v>Muscle Milk</x:v>
      </x:c>
      <x:c r="B49" s="5" t="str">
        <x:v>国际运动营养</x:v>
      </x:c>
      <x:c r="C49" s="5" t="n">
        <x:v>1</x:v>
      </x:c>
      <x:c r="D49" s="5" t="n">
        <x:v>1</x:v>
      </x:c>
      <x:c r="E49" s="5" t="n">
        <x:v>1</x:v>
      </x:c>
      <x:c r="F49" s="5" t="n">
        <x:v>0</x:v>
      </x:c>
      <x:c r="G49" s="5" t="n">
        <x:v>0</x:v>
      </x:c>
      <x:c r="H49" s="6" t="n">
        <x:v>0.003389830508474576</x:v>
      </x:c>
      <x:c r="I49" s="5" t="str">
        <x:v>DeepSeek Q13</x:v>
      </x:c>
      <x:c r="J49" s="5" t="str">
        <x:v>其他对照品牌</x:v>
      </x:c>
    </x:row>
    <x:row r="50" ht="27" customHeight="1">
      <x:c r="A50" s="5" t="str">
        <x:v>贝塔尔</x:v>
      </x:c>
      <x:c r="B50" s="5" t="str">
        <x:v>酵母蛋白</x:v>
      </x:c>
      <x:c r="C50" s="5" t="n">
        <x:v>1</x:v>
      </x:c>
      <x:c r="D50" s="5" t="n">
        <x:v>1</x:v>
      </x:c>
      <x:c r="E50" s="5" t="n">
        <x:v>1</x:v>
      </x:c>
      <x:c r="F50" s="5" t="n">
        <x:v>0</x:v>
      </x:c>
      <x:c r="G50" s="5" t="n">
        <x:v>0</x:v>
      </x:c>
      <x:c r="H50" s="6" t="n">
        <x:v>0.003389830508474576</x:v>
      </x:c>
      <x:c r="I50" s="5" t="str">
        <x:v>DeepSeek Q9</x:v>
      </x:c>
      <x:c r="J50" s="5" t="str">
        <x:v>其他对照品牌</x:v>
      </x:c>
    </x:row>
    <x:row r="51" ht="27" customHeight="1">
      <x:c r="A51" s="5" t="str">
        <x:v>捷氏</x:v>
      </x:c>
      <x:c r="B51" s="5" t="str">
        <x:v>其他</x:v>
      </x:c>
      <x:c r="C51" s="5" t="n">
        <x:v>1</x:v>
      </x:c>
      <x:c r="D51" s="5" t="n">
        <x:v>1</x:v>
      </x:c>
      <x:c r="E51" s="5" t="n">
        <x:v>1</x:v>
      </x:c>
      <x:c r="F51" s="5" t="n">
        <x:v>0</x:v>
      </x:c>
      <x:c r="G51" s="5" t="n">
        <x:v>0</x:v>
      </x:c>
      <x:c r="H51" s="6" t="n">
        <x:v>0.003389830508474576</x:v>
      </x:c>
      <x:c r="I51" s="5" t="str">
        <x:v>DeepSeek Q9</x:v>
      </x:c>
      <x:c r="J51" s="5" t="str">
        <x:v>其他对照品牌</x:v>
      </x:c>
    </x:row>
    <x:row r="52" ht="27" customHeight="1">
      <x:c r="A52" s="5" t="str">
        <x:v>肌肉小王子</x:v>
      </x:c>
      <x:c r="B52" s="5" t="str">
        <x:v>其他</x:v>
      </x:c>
      <x:c r="C52" s="5" t="n">
        <x:v>1</x:v>
      </x:c>
      <x:c r="D52" s="5" t="n">
        <x:v>1</x:v>
      </x:c>
      <x:c r="E52" s="5" t="n">
        <x:v>1</x:v>
      </x:c>
      <x:c r="F52" s="5" t="n">
        <x:v>0</x:v>
      </x:c>
      <x:c r="G52" s="5" t="n">
        <x:v>0</x:v>
      </x:c>
      <x:c r="H52" s="6" t="n">
        <x:v>0.003389830508474576</x:v>
      </x:c>
      <x:c r="I52" s="5" t="str">
        <x:v>千问 Q12</x:v>
      </x:c>
      <x:c r="J52" s="5" t="str">
        <x:v>其他对照品牌</x:v>
      </x:c>
    </x:row>
    <x:row r="53" ht="27" customHeight="1">
      <x:c r="A53" s="5" t="str">
        <x:v>天使美</x:v>
      </x:c>
      <x:c r="B53" s="5" t="str">
        <x:v>其他</x:v>
      </x:c>
      <x:c r="C53" s="5" t="n">
        <x:v>1</x:v>
      </x:c>
      <x:c r="D53" s="5" t="n">
        <x:v>1</x:v>
      </x:c>
      <x:c r="E53" s="5" t="n">
        <x:v>1</x:v>
      </x:c>
      <x:c r="F53" s="5" t="n">
        <x:v>0</x:v>
      </x:c>
      <x:c r="G53" s="5" t="n">
        <x:v>0</x:v>
      </x:c>
      <x:c r="H53" s="6" t="n">
        <x:v>0.003389830508474576</x:v>
      </x:c>
      <x:c r="I53" s="5" t="str">
        <x:v>DeepSeek Q4</x:v>
      </x:c>
      <x:c r="J53" s="5" t="str">
        <x:v>其他对照品牌</x:v>
      </x:c>
    </x:row>
    <x:row r="54" ht="27" customHeight="1">
      <x:c r="A54" s="5" t="str">
        <x:v>禾微生物</x:v>
      </x:c>
      <x:c r="B54" s="5" t="str">
        <x:v>酵母蛋白</x:v>
      </x:c>
      <x:c r="C54" s="5" t="n">
        <x:v>1</x:v>
      </x:c>
      <x:c r="D54" s="5" t="n">
        <x:v>1</x:v>
      </x:c>
      <x:c r="E54" s="5" t="n">
        <x:v>1</x:v>
      </x:c>
      <x:c r="F54" s="5" t="n">
        <x:v>0</x:v>
      </x:c>
      <x:c r="G54" s="5" t="n">
        <x:v>0</x:v>
      </x:c>
      <x:c r="H54" s="6" t="n">
        <x:v>0.003389830508474576</x:v>
      </x:c>
      <x:c r="I54" s="5" t="str">
        <x:v>千问 Q14</x:v>
      </x:c>
      <x:c r="J54" s="5" t="str">
        <x:v>其他对照品牌</x:v>
      </x:c>
    </x:row>
    <x:row r="55" ht="27" customHeight="1">
      <x:c r="A55" s="5" t="str">
        <x:v>Quorn</x:v>
      </x:c>
      <x:c r="B55" s="5" t="str">
        <x:v>其他</x:v>
      </x:c>
      <x:c r="C55" s="5" t="n">
        <x:v>1</x:v>
      </x:c>
      <x:c r="D55" s="5" t="n">
        <x:v>1</x:v>
      </x:c>
      <x:c r="E55" s="5" t="n">
        <x:v>1</x:v>
      </x:c>
      <x:c r="F55" s="5" t="n">
        <x:v>0</x:v>
      </x:c>
      <x:c r="G55" s="5" t="n">
        <x:v>0</x:v>
      </x:c>
      <x:c r="H55" s="6" t="n">
        <x:v>0.003389830508474576</x:v>
      </x:c>
      <x:c r="I55" s="5" t="str">
        <x:v>豆包 Q4</x:v>
      </x:c>
      <x:c r="J55" s="5" t="str">
        <x:v>其他对照品牌</x:v>
      </x:c>
    </x:row>
  </x:sheetData>
  <x:pageMargins left="0.7" right="0.7" top="0.75" bottom="0.75" header="0.3" footer="0.3"/>
</x:worksheet>
</file>

<file path=xl/worksheets/sheet5.xml><?xml version="1.0" encoding="utf-8"?>
<x:worksheet xmlns:x="http://schemas.openxmlformats.org/spreadsheetml/2006/main">
  <x:sheetPr>
    <x:tabColor rgb="FF23556B"/>
  </x:sheetPr>
  <x:sheetViews>
    <x:sheetView showGridLines="0" workbookViewId="0">
      <x:pane ySplit="1" topLeftCell="A2" activePane="bottomLeft" state="frozen"/>
    </x:sheetView>
  </x:sheetViews>
  <x:sheetFormatPr defaultRowHeight="15"/>
  <x:cols>
    <x:col min="1" max="1" width="14" hidden="0" customWidth="1"/>
    <x:col min="2" max="2" width="12" hidden="0" customWidth="1"/>
    <x:col min="3" max="3" width="65" hidden="0" customWidth="1"/>
    <x:col min="4" max="4" width="80" hidden="0" customWidth="1"/>
    <x:col min="5" max="5" width="26" hidden="0" customWidth="1"/>
    <x:col min="6" max="6" width="22" hidden="0" customWidth="1"/>
    <x:col min="7" max="7" width="18" hidden="0" customWidth="1"/>
    <x:col min="8" max="8" width="55" hidden="0" customWidth="1"/>
    <x:col min="9" max="9" width="15" hidden="0" customWidth="1"/>
    <x:col min="10" max="10" width="15" hidden="0" customWidth="1"/>
  </x:cols>
  <x:sheetData>
    <x:row r="1" ht="30" customHeight="1">
      <x:c r="A1" s="3" t="str">
        <x:v>AI平台</x:v>
      </x:c>
      <x:c r="B1" s="3" t="str">
        <x:v>Query ID</x:v>
      </x:c>
      <x:c r="C1" s="3" t="str">
        <x:v>引用页面标题</x:v>
      </x:c>
      <x:c r="D1" s="3" t="str">
        <x:v>引用URL</x:v>
      </x:c>
      <x:c r="E1" s="3" t="str">
        <x:v>域名</x:v>
      </x:c>
      <x:c r="F1" s="3" t="str">
        <x:v>内容类型</x:v>
      </x:c>
      <x:c r="G1" s="3" t="str">
        <x:v>同答提及怡可纳</x:v>
      </x:c>
      <x:c r="H1" s="3" t="str">
        <x:v>同答提及品牌</x:v>
      </x:c>
      <x:c r="I1" s="3" t="str">
        <x:v>自然/主动</x:v>
      </x:c>
      <x:c r="J1" s="3" t="str">
        <x:v>页面日期</x:v>
      </x:c>
    </x:row>
    <x:row r="2" ht="27" customHeight="1">
      <x:c r="A2" s="5" t="str">
        <x:v>DeepSeek</x:v>
      </x:c>
      <x:c r="B2" s="5" t="str">
        <x:v>Q1</x:v>
      </x:c>
      <x:c r="C2" s="5" t="str">
        <x:v>页面未提供标题（引用编号）</x:v>
      </x:c>
      <x:c r="D2" s="5" t="str">
        <x:v>https://m.163.com/dy/article/KQVH9Q8M0514AUG0.html?spss=adap_pc</x:v>
      </x:c>
      <x:c r="E2" s="5" t="str">
        <x:v>163.com</x:v>
      </x:c>
      <x:c r="F2" s="5" t="str">
        <x:v>综合媒体/转载</x:v>
      </x:c>
      <x:c r="G2" s="5" t="str">
        <x:v>否</x:v>
      </x:c>
      <x:c r="H2" s="5" t="str"/>
      <x:c r="I2" s="5" t="str">
        <x:v>自然</x:v>
      </x:c>
      <x:c r="J2" s="5" t="str">
        <x:v>未核实</x:v>
      </x:c>
    </x:row>
    <x:row r="3" ht="27" customHeight="1">
      <x:c r="A3" s="5" t="str">
        <x:v>DeepSeek</x:v>
      </x:c>
      <x:c r="B3" s="5" t="str">
        <x:v>Q1</x:v>
      </x:c>
      <x:c r="C3" s="5" t="str">
        <x:v>页面未提供标题（引用编号）</x:v>
      </x:c>
      <x:c r="D3" s="5" t="str">
        <x:v>https://www.angelyeast.com/Yeastprotein.html</x:v>
      </x:c>
      <x:c r="E3" s="5" t="str">
        <x:v>angelyeast.com</x:v>
      </x:c>
      <x:c r="F3" s="5" t="str">
        <x:v>企业官网</x:v>
      </x:c>
      <x:c r="G3" s="5" t="str">
        <x:v>否</x:v>
      </x:c>
      <x:c r="H3" s="5" t="str"/>
      <x:c r="I3" s="5" t="str">
        <x:v>自然</x:v>
      </x:c>
      <x:c r="J3" s="5" t="str">
        <x:v>未核实</x:v>
      </x:c>
    </x:row>
    <x:row r="4" ht="27" customHeight="1">
      <x:c r="A4" s="5" t="str">
        <x:v>DeepSeek</x:v>
      </x:c>
      <x:c r="B4" s="5" t="str">
        <x:v>Q1</x:v>
      </x:c>
      <x:c r="C4" s="5" t="str">
        <x:v>页面未提供标题（引用编号）</x:v>
      </x:c>
      <x:c r="D4" s="5" t="str">
        <x:v>https://cloud.kepuchina.cn/newSearch/imgText?from=1&amp;id=7155007806657773568&amp;is_self=1#1#1#1</x:v>
      </x:c>
      <x:c r="E4" s="5" t="str">
        <x:v>cloud.kepuchina.cn</x:v>
      </x:c>
      <x:c r="F4" s="5" t="str">
        <x:v>其他网页</x:v>
      </x:c>
      <x:c r="G4" s="5" t="str">
        <x:v>否</x:v>
      </x:c>
      <x:c r="H4" s="5" t="str"/>
      <x:c r="I4" s="5" t="str">
        <x:v>自然</x:v>
      </x:c>
      <x:c r="J4" s="5" t="str">
        <x:v>未核实</x:v>
      </x:c>
    </x:row>
    <x:row r="5" ht="27" customHeight="1">
      <x:c r="A5" s="5" t="str">
        <x:v>DeepSeek</x:v>
      </x:c>
      <x:c r="B5" s="5" t="str">
        <x:v>Q1</x:v>
      </x:c>
      <x:c r="C5" s="5" t="str">
        <x:v>页面未提供标题（引用编号）</x:v>
      </x:c>
      <x:c r="D5" s="5" t="str">
        <x:v>https://www.sciencedirect.com/science/article/abs/pii/S0308814624028280?via%3Dihub#1#1</x:v>
      </x:c>
      <x:c r="E5" s="5" t="str">
        <x:v>sciencedirect.com</x:v>
      </x:c>
      <x:c r="F5" s="5" t="str">
        <x:v>学术研究</x:v>
      </x:c>
      <x:c r="G5" s="5" t="str">
        <x:v>否</x:v>
      </x:c>
      <x:c r="H5" s="5" t="str"/>
      <x:c r="I5" s="5" t="str">
        <x:v>自然</x:v>
      </x:c>
      <x:c r="J5" s="5" t="str">
        <x:v>未核实</x:v>
      </x:c>
    </x:row>
    <x:row r="6" ht="27" customHeight="1">
      <x:c r="A6" s="5" t="str">
        <x:v>DeepSeek</x:v>
      </x:c>
      <x:c r="B6" s="5" t="str">
        <x:v>Q2</x:v>
      </x:c>
      <x:c r="C6" s="5" t="str">
        <x:v>页面未提供标题（引用编号）</x:v>
      </x:c>
      <x:c r="D6" s="5" t="str">
        <x:v>https://europepmc.org/article/PPR/PPR1258973#1</x:v>
      </x:c>
      <x:c r="E6" s="5" t="str">
        <x:v>europepmc.org</x:v>
      </x:c>
      <x:c r="F6" s="5" t="str">
        <x:v>其他网页</x:v>
      </x:c>
      <x:c r="G6" s="5" t="str">
        <x:v>否</x:v>
      </x:c>
      <x:c r="H6" s="5" t="str"/>
      <x:c r="I6" s="5" t="str">
        <x:v>自然</x:v>
      </x:c>
      <x:c r="J6" s="5" t="str">
        <x:v>未核实</x:v>
      </x:c>
    </x:row>
    <x:row r="7" ht="27" customHeight="1">
      <x:c r="A7" s="5" t="str">
        <x:v>DeepSeek</x:v>
      </x:c>
      <x:c r="B7" s="5" t="str">
        <x:v>Q2</x:v>
      </x:c>
      <x:c r="C7" s="5" t="str">
        <x:v>页面未提供标题（引用编号）</x:v>
      </x:c>
      <x:c r="D7" s="5" t="str">
        <x:v>https://www.sciencedirect.com/science/article/abs/pii/S0963996923011201#1</x:v>
      </x:c>
      <x:c r="E7" s="5" t="str">
        <x:v>sciencedirect.com</x:v>
      </x:c>
      <x:c r="F7" s="5" t="str">
        <x:v>学术研究</x:v>
      </x:c>
      <x:c r="G7" s="5" t="str">
        <x:v>否</x:v>
      </x:c>
      <x:c r="H7" s="5" t="str"/>
      <x:c r="I7" s="5" t="str">
        <x:v>自然</x:v>
      </x:c>
      <x:c r="J7" s="5" t="str">
        <x:v>未核实</x:v>
      </x:c>
    </x:row>
    <x:row r="8" ht="27" customHeight="1">
      <x:c r="A8" s="5" t="str">
        <x:v>DeepSeek</x:v>
      </x:c>
      <x:c r="B8" s="5" t="str">
        <x:v>Q2</x:v>
      </x:c>
      <x:c r="C8" s="5" t="str">
        <x:v>页面未提供标题（引用编号）</x:v>
      </x:c>
      <x:c r="D8" s="5" t="str">
        <x:v>https://www.sciencedirect.com/science/article/pii/S0963996925004351?trk=article-ssr-frontend-pulse_little-text-block#3</x:v>
      </x:c>
      <x:c r="E8" s="5" t="str">
        <x:v>sciencedirect.com</x:v>
      </x:c>
      <x:c r="F8" s="5" t="str">
        <x:v>学术研究</x:v>
      </x:c>
      <x:c r="G8" s="5" t="str">
        <x:v>否</x:v>
      </x:c>
      <x:c r="H8" s="5" t="str"/>
      <x:c r="I8" s="5" t="str">
        <x:v>自然</x:v>
      </x:c>
      <x:c r="J8" s="5" t="str">
        <x:v>未核实</x:v>
      </x:c>
    </x:row>
    <x:row r="9" ht="27" customHeight="1">
      <x:c r="A9" s="5" t="str">
        <x:v>DeepSeek</x:v>
      </x:c>
      <x:c r="B9" s="5" t="str">
        <x:v>Q2</x:v>
      </x:c>
      <x:c r="C9" s="5" t="str">
        <x:v>页面未提供标题（引用编号）</x:v>
      </x:c>
      <x:c r="D9" s="5" t="str">
        <x:v>https://onlinelibrary.wiley.com/doi/full/10.1002/fsn3.71552#1</x:v>
      </x:c>
      <x:c r="E9" s="5" t="str">
        <x:v>onlinelibrary.wiley.com</x:v>
      </x:c>
      <x:c r="F9" s="5" t="str">
        <x:v>学术研究</x:v>
      </x:c>
      <x:c r="G9" s="5" t="str">
        <x:v>否</x:v>
      </x:c>
      <x:c r="H9" s="5" t="str"/>
      <x:c r="I9" s="5" t="str">
        <x:v>自然</x:v>
      </x:c>
      <x:c r="J9" s="5" t="str">
        <x:v>未核实</x:v>
      </x:c>
    </x:row>
    <x:row r="10" ht="27" customHeight="1">
      <x:c r="A10" s="5" t="str">
        <x:v>DeepSeek</x:v>
      </x:c>
      <x:c r="B10" s="5" t="str">
        <x:v>Q2</x:v>
      </x:c>
      <x:c r="C10" s="5" t="str">
        <x:v>Yeast protein: In vivo gastrointestinal digestion and biochemical characteristics</x:v>
      </x:c>
      <x:c r="D10" s="5" t="str">
        <x:v>https://www.sciencedirect.com/science/article/abs/pii/S2212429224009246#1#1#1</x:v>
      </x:c>
      <x:c r="E10" s="5" t="str">
        <x:v>sciencedirect.com</x:v>
      </x:c>
      <x:c r="F10" s="5" t="str">
        <x:v>学术研究</x:v>
      </x:c>
      <x:c r="G10" s="5" t="str">
        <x:v>否</x:v>
      </x:c>
      <x:c r="H10" s="5" t="str"/>
      <x:c r="I10" s="5" t="str">
        <x:v>自然</x:v>
      </x:c>
      <x:c r="J10" s="5" t="str">
        <x:v>未核实</x:v>
      </x:c>
    </x:row>
    <x:row r="11" ht="27" customHeight="1">
      <x:c r="A11" s="5" t="str">
        <x:v>DeepSeek</x:v>
      </x:c>
      <x:c r="B11" s="5" t="str">
        <x:v>Q2</x:v>
      </x:c>
      <x:c r="C11" s="5" t="str">
        <x:v>页面未提供标题（引用编号）</x:v>
      </x:c>
      <x:c r="D11" s="5" t="str">
        <x:v>https://www.sciencedirect.com/science/article/abs/pii/S1466856424000456?via%3Dihub#1</x:v>
      </x:c>
      <x:c r="E11" s="5" t="str">
        <x:v>sciencedirect.com</x:v>
      </x:c>
      <x:c r="F11" s="5" t="str">
        <x:v>学术研究</x:v>
      </x:c>
      <x:c r="G11" s="5" t="str">
        <x:v>否</x:v>
      </x:c>
      <x:c r="H11" s="5" t="str"/>
      <x:c r="I11" s="5" t="str">
        <x:v>自然</x:v>
      </x:c>
      <x:c r="J11" s="5" t="str">
        <x:v>未核实</x:v>
      </x:c>
    </x:row>
    <x:row r="12" ht="27" customHeight="1">
      <x:c r="A12" s="5" t="str">
        <x:v>DeepSeek</x:v>
      </x:c>
      <x:c r="B12" s="5" t="str">
        <x:v>Q3</x:v>
      </x:c>
      <x:c r="C12" s="5" t="str">
        <x:v>多品牌蛋白粉每桶涨价近百元，乳清蛋白成本翻倍，消费者寻找平替 - 多品牌蛋白粉每桶涨价近百元，乳清蛋白成本翻倍，消费者寻找平替</x:v>
      </x:c>
      <x:c r="D12" s="5" t="str">
        <x:v>https://zhuanlan.zhihu.com/p/2044740073569179012?utm_medium=openapi_platform&amp;utm_source=e10c3ad29e50#1</x:v>
      </x:c>
      <x:c r="E12" s="5" t="str">
        <x:v>zhuanlan.zhihu.com</x:v>
      </x:c>
      <x:c r="F12" s="5" t="str">
        <x:v>UGC/视频/公众号</x:v>
      </x:c>
      <x:c r="G12" s="5" t="str">
        <x:v>否</x:v>
      </x:c>
      <x:c r="H12" s="5" t="str">
        <x:v>安琪纽特、赛霸/小赛同学、京东京造</x:v>
      </x:c>
      <x:c r="I12" s="5" t="str">
        <x:v>自然</x:v>
      </x:c>
      <x:c r="J12" s="5" t="str">
        <x:v>未核实</x:v>
      </x:c>
    </x:row>
    <x:row r="13" ht="27" customHeight="1">
      <x:c r="A13" s="5" t="str">
        <x:v>DeepSeek</x:v>
      </x:c>
      <x:c r="B13" s="5" t="str">
        <x:v>Q3</x:v>
      </x:c>
      <x:c r="C13" s="5" t="str">
        <x:v>安琪酵母(600298)，创新健康生活</x:v>
      </x:c>
      <x:c r="D13" s="5" t="str">
        <x:v>https://www.angelyeast.com/info/1755.html</x:v>
      </x:c>
      <x:c r="E13" s="5" t="str">
        <x:v>angelyeast.com</x:v>
      </x:c>
      <x:c r="F13" s="5" t="str">
        <x:v>企业官网</x:v>
      </x:c>
      <x:c r="G13" s="5" t="str">
        <x:v>否</x:v>
      </x:c>
      <x:c r="H13" s="5" t="str">
        <x:v>安琪纽特、赛霸/小赛同学、京东京造</x:v>
      </x:c>
      <x:c r="I13" s="5" t="str">
        <x:v>自然</x:v>
      </x:c>
      <x:c r="J13" s="5" t="str">
        <x:v>2026-07-24（页面）</x:v>
      </x:c>
    </x:row>
    <x:row r="14" ht="27" customHeight="1">
      <x:c r="A14" s="5" t="str">
        <x:v>DeepSeek</x:v>
      </x:c>
      <x:c r="B14" s="5" t="str">
        <x:v>Q3</x:v>
      </x:c>
      <x:c r="C14" s="5" t="str">
        <x:v>页面未提供标题（引用编号）</x:v>
      </x:c>
      <x:c r="D14" s="5" t="str">
        <x:v>https://ye.angelyeast.com/contents/3957/83018.html</x:v>
      </x:c>
      <x:c r="E14" s="5" t="str">
        <x:v>ye.angelyeast.com</x:v>
      </x:c>
      <x:c r="F14" s="5" t="str">
        <x:v>企业官网</x:v>
      </x:c>
      <x:c r="G14" s="5" t="str">
        <x:v>否</x:v>
      </x:c>
      <x:c r="H14" s="5" t="str">
        <x:v>安琪纽特、赛霸/小赛同学、京东京造</x:v>
      </x:c>
      <x:c r="I14" s="5" t="str">
        <x:v>自然</x:v>
      </x:c>
      <x:c r="J14" s="5" t="str">
        <x:v>未核实</x:v>
      </x:c>
    </x:row>
    <x:row r="15" ht="27" customHeight="1">
      <x:c r="A15" s="5" t="str">
        <x:v>DeepSeek</x:v>
      </x:c>
      <x:c r="B15" s="5" t="str">
        <x:v>Q3</x:v>
      </x:c>
      <x:c r="C15" s="5" t="str">
        <x:v>乳清蛋白涨疯了？酵母蛋白成平价新宠，实测对比谁更值_健体强身_什么值得买</x:v>
      </x:c>
      <x:c r="D15" s="5" t="str">
        <x:v>https://post.smzdm.com/p/a5rve8g3/#1#1</x:v>
      </x:c>
      <x:c r="E15" s="5" t="str">
        <x:v>post.smzdm.com</x:v>
      </x:c>
      <x:c r="F15" s="5" t="str">
        <x:v>UGC/视频/公众号</x:v>
      </x:c>
      <x:c r="G15" s="5" t="str">
        <x:v>否</x:v>
      </x:c>
      <x:c r="H15" s="5" t="str">
        <x:v>安琪纽特、赛霸/小赛同学、京东京造</x:v>
      </x:c>
      <x:c r="I15" s="5" t="str">
        <x:v>自然</x:v>
      </x:c>
      <x:c r="J15" s="5" t="str">
        <x:v>未核实</x:v>
      </x:c>
    </x:row>
    <x:row r="16" ht="27" customHeight="1">
      <x:c r="A16" s="5" t="str">
        <x:v>DeepSeek</x:v>
      </x:c>
      <x:c r="B16" s="5" t="str">
        <x:v>Q3</x:v>
      </x:c>
      <x:c r="C16" s="5" t="str">
        <x:v>酵母蛋白：低嘌呤的高品质蛋白选择</x:v>
      </x:c>
      <x:c r="D16" s="5" t="str">
        <x:v>https://cloud.kepuchina.cn/h5/detail?id=7385550968292503552</x:v>
      </x:c>
      <x:c r="E16" s="5" t="str">
        <x:v>cloud.kepuchina.cn</x:v>
      </x:c>
      <x:c r="F16" s="5" t="str">
        <x:v>其他网页</x:v>
      </x:c>
      <x:c r="G16" s="5" t="str">
        <x:v>否</x:v>
      </x:c>
      <x:c r="H16" s="5" t="str">
        <x:v>安琪纽特、赛霸/小赛同学、京东京造</x:v>
      </x:c>
      <x:c r="I16" s="5" t="str">
        <x:v>自然</x:v>
      </x:c>
      <x:c r="J16" s="5" t="str">
        <x:v>未核实</x:v>
      </x:c>
    </x:row>
    <x:row r="17" ht="27" customHeight="1">
      <x:c r="A17" s="5" t="str">
        <x:v>DeepSeek</x:v>
      </x:c>
      <x:c r="B17" s="5" t="str">
        <x:v>Q3</x:v>
      </x:c>
      <x:c r="C17" s="5" t="str">
        <x:v>Yeast Protein vs Whey Protein: Is one really better than the other?</x:v>
      </x:c>
      <x:c r="D17" s="5" t="str">
        <x:v>https://www.thip.media/questions-medical-health/yeast-protein-vs-whey-protein-is-one-really-better-than-the-other/149398/#1#1</x:v>
      </x:c>
      <x:c r="E17" s="5" t="str">
        <x:v>thip.media</x:v>
      </x:c>
      <x:c r="F17" s="5" t="str">
        <x:v>其他网页</x:v>
      </x:c>
      <x:c r="G17" s="5" t="str">
        <x:v>否</x:v>
      </x:c>
      <x:c r="H17" s="5" t="str">
        <x:v>安琪纽特、赛霸/小赛同学、京东京造</x:v>
      </x:c>
      <x:c r="I17" s="5" t="str">
        <x:v>自然</x:v>
      </x:c>
      <x:c r="J17" s="5" t="str">
        <x:v>未核实</x:v>
      </x:c>
    </x:row>
    <x:row r="18" ht="27" customHeight="1">
      <x:c r="A18" s="5" t="str">
        <x:v>DeepSeek</x:v>
      </x:c>
      <x:c r="B18" s="5" t="str">
        <x:v>Q3</x:v>
      </x:c>
      <x:c r="C18" s="5" t="str">
        <x:v>我真的翻完了50篇帖子、1163条评论：20款酵母蛋白粉真实排名 - 今日头条</x:v>
      </x:c>
      <x:c r="D18" s="5" t="str">
        <x:v>https://m.toutiao.com/article/7668163446449504803/?upstream_biz=VolcEngine&amp;source=m_redirect&amp;wid=1788778015047&amp;upstream_biz=toutiao_pc&amp;source=m_redirect&amp;upstream_biz=toutiao_pc#1</x:v>
      </x:c>
      <x:c r="E18" s="5" t="str">
        <x:v>toutiao.com</x:v>
      </x:c>
      <x:c r="F18" s="5" t="str">
        <x:v>UGC/视频/公众号</x:v>
      </x:c>
      <x:c r="G18" s="5" t="str">
        <x:v>否</x:v>
      </x:c>
      <x:c r="H18" s="5" t="str">
        <x:v>安琪纽特、赛霸/小赛同学、京东京造</x:v>
      </x:c>
      <x:c r="I18" s="5" t="str">
        <x:v>自然</x:v>
      </x:c>
      <x:c r="J18" s="5" t="str">
        <x:v>未核实</x:v>
      </x:c>
    </x:row>
    <x:row r="19" ht="27" customHeight="1">
      <x:c r="A19" s="5" t="str">
        <x:v>DeepSeek</x:v>
      </x:c>
      <x:c r="B19" s="5" t="str">
        <x:v>Q4</x:v>
      </x:c>
      <x:c r="C19" s="5" t="str">
        <x:v>2026年全球酵母蛋白销售额约30亿元 应用场景从"小众"走向"大众"[图]</x:v>
      </x:c>
      <x:c r="D19" s="5" t="str">
        <x:v>https://m.gonyn.com/industry/1944157.html</x:v>
      </x:c>
      <x:c r="E19" s="5" t="str">
        <x:v>gonyn.com</x:v>
      </x:c>
      <x:c r="F19" s="5" t="str">
        <x:v>其他网页</x:v>
      </x:c>
      <x:c r="G19" s="5" t="str">
        <x:v>是</x:v>
      </x:c>
      <x:c r="H19" s="5" t="str">
        <x:v>怡可纳、安琪纽特、赛霸/小赛同学、概特/盖特、BD能量、天使美、ffit8</x:v>
      </x:c>
      <x:c r="I19" s="5" t="str">
        <x:v>自然</x:v>
      </x:c>
      <x:c r="J19" s="5" t="str">
        <x:v>未核实</x:v>
      </x:c>
    </x:row>
    <x:row r="20" ht="27" customHeight="1">
      <x:c r="A20" s="5" t="str">
        <x:v>DeepSeek</x:v>
      </x:c>
      <x:c r="B20" s="5" t="str">
        <x:v>Q4</x:v>
      </x:c>
      <x:c r="C20" s="5" t="str">
        <x:v>页面未提供标题（引用编号）</x:v>
      </x:c>
      <x:c r="D20" s="5" t="str">
        <x:v>https://www.aporesearch.com.cn/reports/yeast-protein/1742156103</x:v>
      </x:c>
      <x:c r="E20" s="5" t="str">
        <x:v>aporesearch.com.cn</x:v>
      </x:c>
      <x:c r="F20" s="5" t="str">
        <x:v>行业报告</x:v>
      </x:c>
      <x:c r="G20" s="5" t="str">
        <x:v>是</x:v>
      </x:c>
      <x:c r="H20" s="5" t="str">
        <x:v>怡可纳、安琪纽特、赛霸/小赛同学、概特/盖特、BD能量、天使美、ffit8</x:v>
      </x:c>
      <x:c r="I20" s="5" t="str">
        <x:v>自然</x:v>
      </x:c>
      <x:c r="J20" s="5" t="str">
        <x:v>未核实</x:v>
      </x:c>
    </x:row>
    <x:row r="21" ht="27" customHeight="1">
      <x:c r="A21" s="5" t="str">
        <x:v>DeepSeek</x:v>
      </x:c>
      <x:c r="B21" s="5" t="str">
        <x:v>Q4</x:v>
      </x:c>
      <x:c r="C21" s="5" t="str">
        <x:v>乳清蛋白平替？安琪酵母、好丽友都在用</x:v>
      </x:c>
      <x:c r="D21" s="5" t="str">
        <x:v>https://www.foodaily.com/articles/40621#1#1#1</x:v>
      </x:c>
      <x:c r="E21" s="5" t="str">
        <x:v>foodaily.com</x:v>
      </x:c>
      <x:c r="F21" s="5" t="str">
        <x:v>其他网页</x:v>
      </x:c>
      <x:c r="G21" s="5" t="str">
        <x:v>是</x:v>
      </x:c>
      <x:c r="H21" s="5" t="str">
        <x:v>怡可纳、安琪纽特、赛霸/小赛同学、概特/盖特、BD能量、天使美、ffit8</x:v>
      </x:c>
      <x:c r="I21" s="5" t="str">
        <x:v>自然</x:v>
      </x:c>
      <x:c r="J21" s="5" t="str">
        <x:v>未核实</x:v>
      </x:c>
    </x:row>
    <x:row r="22" ht="27" customHeight="1">
      <x:c r="A22" s="5" t="str">
        <x:v>DeepSeek</x:v>
      </x:c>
      <x:c r="B22" s="5" t="str">
        <x:v>Q4</x:v>
      </x:c>
      <x:c r="C22" s="5" t="str">
        <x:v>Baking Ingredient Exhibition</x:v>
      </x:c>
      <x:c r="D22" s="5" t="str">
        <x:v>https://www.bakerychina.com/en/news/2004071488415731712</x:v>
      </x:c>
      <x:c r="E22" s="5" t="str">
        <x:v>bakerychina.com</x:v>
      </x:c>
      <x:c r="F22" s="5" t="str">
        <x:v>综合媒体/转载</x:v>
      </x:c>
      <x:c r="G22" s="5" t="str">
        <x:v>是</x:v>
      </x:c>
      <x:c r="H22" s="5" t="str">
        <x:v>怡可纳、安琪纽特、赛霸/小赛同学、概特/盖特、BD能量、天使美、ffit8</x:v>
      </x:c>
      <x:c r="I22" s="5" t="str">
        <x:v>自然</x:v>
      </x:c>
      <x:c r="J22" s="5" t="str">
        <x:v>未核实</x:v>
      </x:c>
    </x:row>
    <x:row r="23" ht="27" customHeight="1">
      <x:c r="A23" s="5" t="str">
        <x:v>DeepSeek</x:v>
      </x:c>
      <x:c r="B23" s="5" t="str">
        <x:v>Q4</x:v>
      </x:c>
      <x:c r="C23" s="5" t="str">
        <x:v>Orion, Swanson onboard: Yeast protein gaining favour as an alternative to soy and pea</x:v>
      </x:c>
      <x:c r="D23" s="5" t="str">
        <x:v>https://www.foodnavigator.com/Article/2024/08/07/yeast-protein-gaining-favour-as-an-alternative-protein-source/</x:v>
      </x:c>
      <x:c r="E23" s="5" t="str">
        <x:v>foodnavigator.com</x:v>
      </x:c>
      <x:c r="F23" s="5" t="str">
        <x:v>其他网页</x:v>
      </x:c>
      <x:c r="G23" s="5" t="str">
        <x:v>是</x:v>
      </x:c>
      <x:c r="H23" s="5" t="str">
        <x:v>怡可纳、安琪纽特、赛霸/小赛同学、概特/盖特、BD能量、天使美、ffit8</x:v>
      </x:c>
      <x:c r="I23" s="5" t="str">
        <x:v>自然</x:v>
      </x:c>
      <x:c r="J23" s="5" t="str">
        <x:v>未核实</x:v>
      </x:c>
    </x:row>
    <x:row r="24" ht="27" customHeight="1">
      <x:c r="A24" s="5" t="str">
        <x:v>DeepSeek</x:v>
      </x:c>
      <x:c r="B24" s="5" t="str">
        <x:v>Q5</x:v>
      </x:c>
      <x:c r="C24" s="5" t="str">
        <x:v>蛋白粉，你真的选对了吗？听听中山一院广西医院营养科医生的“硬核”建议</x:v>
      </x:c>
      <x:c r="D24" s="5" t="str">
        <x:v>https://www.zsyygxyy.org.cn/news/newsyyxw/4850.html</x:v>
      </x:c>
      <x:c r="E24" s="5" t="str">
        <x:v>zsyygxyy.org.cn</x:v>
      </x:c>
      <x:c r="F24" s="5" t="str">
        <x:v>其他网页</x:v>
      </x:c>
      <x:c r="G24" s="5" t="str">
        <x:v>否</x:v>
      </x:c>
      <x:c r="H24" s="5" t="str">
        <x:v>Myprotein、ON/欧普特蒙、狄马泰斯</x:v>
      </x:c>
      <x:c r="I24" s="5" t="str">
        <x:v>自然</x:v>
      </x:c>
      <x:c r="J24" s="5" t="str">
        <x:v>未核实</x:v>
      </x:c>
    </x:row>
    <x:row r="25" ht="27" customHeight="1">
      <x:c r="A25" s="5" t="str">
        <x:v>DeepSeek</x:v>
      </x:c>
      <x:c r="B25" s="5" t="str">
        <x:v>Q5</x:v>
      </x:c>
      <x:c r="C25" s="5" t="str">
        <x:v>REGO 極速恢復蛋白粉｜21g 大豆蛋白 + 22g 碳水 500g/1.5kg – Science In Sport</x:v>
      </x:c>
      <x:c r="D25" s="5" t="str">
        <x:v>https://scienceinsport.com.hk/products/rego-rapid-recovery?variant=49684203667687</x:v>
      </x:c>
      <x:c r="E25" s="5" t="str">
        <x:v>scienceinsport.com.hk</x:v>
      </x:c>
      <x:c r="F25" s="5" t="str">
        <x:v>其他网页</x:v>
      </x:c>
      <x:c r="G25" s="5" t="str">
        <x:v>否</x:v>
      </x:c>
      <x:c r="H25" s="5" t="str">
        <x:v>Myprotein、ON/欧普特蒙、狄马泰斯</x:v>
      </x:c>
      <x:c r="I25" s="5" t="str">
        <x:v>自然</x:v>
      </x:c>
      <x:c r="J25" s="5" t="str">
        <x:v>未核实</x:v>
      </x:c>
    </x:row>
    <x:row r="26" ht="27" customHeight="1">
      <x:c r="A26" s="5" t="str">
        <x:v>DeepSeek</x:v>
      </x:c>
      <x:c r="B26" s="5" t="str">
        <x:v>Q5</x:v>
      </x:c>
      <x:c r="C26" s="5" t="str">
        <x:v>What to Look for in a Protein Powder If You Have Digestive Issues</x:v>
      </x:c>
      <x:c r="D26" s="5" t="str">
        <x:v>https://www.verywellhealth.com/protein-powders-digestive-issues-11907736#1</x:v>
      </x:c>
      <x:c r="E26" s="5" t="str">
        <x:v>verywellhealth.com</x:v>
      </x:c>
      <x:c r="F26" s="5" t="str">
        <x:v>其他网页</x:v>
      </x:c>
      <x:c r="G26" s="5" t="str">
        <x:v>否</x:v>
      </x:c>
      <x:c r="H26" s="5" t="str">
        <x:v>Myprotein、ON/欧普特蒙、狄马泰斯</x:v>
      </x:c>
      <x:c r="I26" s="5" t="str">
        <x:v>自然</x:v>
      </x:c>
      <x:c r="J26" s="5" t="str">
        <x:v>未核实</x:v>
      </x:c>
    </x:row>
    <x:row r="27" ht="27" customHeight="1">
      <x:c r="A27" s="5" t="str">
        <x:v>DeepSeek</x:v>
      </x:c>
      <x:c r="B27" s="5" t="str">
        <x:v>Q6</x:v>
      </x:c>
      <x:c r="C27" s="5" t="str">
        <x:v>Stop Protein Bloating Now: Whey vs Plant? [Doctor's Note] | Ubie Doctor's Note</x:v>
      </x:c>
      <x:c r="D27" s="5" t="str">
        <x:v>https://ubiehealth.com/doctors-note/whey-vs-plant-protein-shakes-bloat-reduce-guide-5691q3</x:v>
      </x:c>
      <x:c r="E27" s="5" t="str">
        <x:v>ubiehealth.com</x:v>
      </x:c>
      <x:c r="F27" s="5" t="str">
        <x:v>其他网页</x:v>
      </x:c>
      <x:c r="G27" s="5" t="str">
        <x:v>否</x:v>
      </x:c>
      <x:c r="H27" s="5" t="str"/>
      <x:c r="I27" s="5" t="str">
        <x:v>自然</x:v>
      </x:c>
      <x:c r="J27" s="5" t="str">
        <x:v>未核实</x:v>
      </x:c>
    </x:row>
    <x:row r="28" ht="27" customHeight="1">
      <x:c r="A28" s="5" t="str">
        <x:v>DeepSeek</x:v>
      </x:c>
      <x:c r="B28" s="5" t="str">
        <x:v>Q6</x:v>
      </x:c>
      <x:c r="C28" s="5" t="str">
        <x:v>What to Look for in a Protein Powder If You Have Digestive Issues</x:v>
      </x:c>
      <x:c r="D28" s="5" t="str">
        <x:v>https://www.verywellhealth.com/protein-powders-digestive-issues-11907736#1</x:v>
      </x:c>
      <x:c r="E28" s="5" t="str">
        <x:v>verywellhealth.com</x:v>
      </x:c>
      <x:c r="F28" s="5" t="str">
        <x:v>其他网页</x:v>
      </x:c>
      <x:c r="G28" s="5" t="str">
        <x:v>否</x:v>
      </x:c>
      <x:c r="H28" s="5" t="str"/>
      <x:c r="I28" s="5" t="str">
        <x:v>自然</x:v>
      </x:c>
      <x:c r="J28" s="5" t="str">
        <x:v>未核实</x:v>
      </x:c>
    </x:row>
    <x:row r="29" ht="27" customHeight="1">
      <x:c r="A29" s="5" t="str">
        <x:v>DeepSeek</x:v>
      </x:c>
      <x:c r="B29" s="5" t="str">
        <x:v>Q6</x:v>
      </x:c>
      <x:c r="C29" s="5" t="str">
        <x:v>蛋白粉，你真的选对了吗？听听中山一院广西医院营养科医生的“硬核”建议</x:v>
      </x:c>
      <x:c r="D29" s="5" t="str">
        <x:v>https://www.zsyygxyy.org.cn/news/newsyyxw/4850.html</x:v>
      </x:c>
      <x:c r="E29" s="5" t="str">
        <x:v>zsyygxyy.org.cn</x:v>
      </x:c>
      <x:c r="F29" s="5" t="str">
        <x:v>其他网页</x:v>
      </x:c>
      <x:c r="G29" s="5" t="str">
        <x:v>否</x:v>
      </x:c>
      <x:c r="H29" s="5" t="str"/>
      <x:c r="I29" s="5" t="str">
        <x:v>自然</x:v>
      </x:c>
      <x:c r="J29" s="5" t="str">
        <x:v>未核实</x:v>
      </x:c>
    </x:row>
    <x:row r="30" ht="27" customHeight="1">
      <x:c r="A30" s="5" t="str">
        <x:v>DeepSeek</x:v>
      </x:c>
      <x:c r="B30" s="5" t="str">
        <x:v>Q6</x:v>
      </x:c>
      <x:c r="C30" s="5" t="str">
        <x:v>Stop Protein Shake Bloat Now: Best Options &amp; Gut Health Steps | Ubie Doctor's Note - Published on: 3/18/2026</x:v>
      </x:c>
      <x:c r="D30" s="5" t="str">
        <x:v>https://ubiehealth.com/doctors-note/best-protein-powder-sensitive-stomach-gut-bloat-9232e5#1</x:v>
      </x:c>
      <x:c r="E30" s="5" t="str">
        <x:v>ubiehealth.com</x:v>
      </x:c>
      <x:c r="F30" s="5" t="str">
        <x:v>其他网页</x:v>
      </x:c>
      <x:c r="G30" s="5" t="str">
        <x:v>否</x:v>
      </x:c>
      <x:c r="H30" s="5" t="str"/>
      <x:c r="I30" s="5" t="str">
        <x:v>自然</x:v>
      </x:c>
      <x:c r="J30" s="5" t="str">
        <x:v>未核实</x:v>
      </x:c>
    </x:row>
    <x:row r="31" ht="27" customHeight="1">
      <x:c r="A31" s="5" t="str">
        <x:v>DeepSeek</x:v>
      </x:c>
      <x:c r="B31" s="5" t="str">
        <x:v>Q7</x:v>
      </x:c>
      <x:c r="C31" s="5" t="str">
        <x:v>蛋白粉，你真的选对了吗？听听中山一院广西医院营养科医生的“硬核”建议</x:v>
      </x:c>
      <x:c r="D31" s="5" t="str">
        <x:v>http://www.zsyygxyy.org.cn/department/yykksxw/5861.html</x:v>
      </x:c>
      <x:c r="E31" s="5" t="str">
        <x:v>zsyygxyy.org.cn</x:v>
      </x:c>
      <x:c r="F31" s="5" t="str">
        <x:v>其他网页</x:v>
      </x:c>
      <x:c r="G31" s="5" t="str">
        <x:v>否</x:v>
      </x:c>
      <x:c r="H31" s="5" t="str">
        <x:v>诺特兰德、汤臣倍健、Myprotein、ON/欧普特蒙、肌肉科技</x:v>
      </x:c>
      <x:c r="I31" s="5" t="str">
        <x:v>自然</x:v>
      </x:c>
      <x:c r="J31" s="5" t="str">
        <x:v>未核实</x:v>
      </x:c>
    </x:row>
    <x:row r="32" ht="27" customHeight="1">
      <x:c r="A32" s="5" t="str">
        <x:v>DeepSeek</x:v>
      </x:c>
      <x:c r="B32" s="5" t="str">
        <x:v>Q7</x:v>
      </x:c>
      <x:c r="C32" s="5" t="str">
        <x:v>页面未提供标题（引用编号）</x:v>
      </x:c>
      <x:c r="D32" s="5" t="str">
        <x:v>https://www.womenshealthmag.com/tw/food-nutrition/diet/g70085260/whey-protein/#1#1</x:v>
      </x:c>
      <x:c r="E32" s="5" t="str">
        <x:v>womenshealthmag.com</x:v>
      </x:c>
      <x:c r="F32" s="5" t="str">
        <x:v>其他网页</x:v>
      </x:c>
      <x:c r="G32" s="5" t="str">
        <x:v>否</x:v>
      </x:c>
      <x:c r="H32" s="5" t="str">
        <x:v>诺特兰德、汤臣倍健、Myprotein、ON/欧普特蒙、肌肉科技</x:v>
      </x:c>
      <x:c r="I32" s="5" t="str">
        <x:v>自然</x:v>
      </x:c>
      <x:c r="J32" s="5" t="str">
        <x:v>未核实</x:v>
      </x:c>
    </x:row>
    <x:row r="33" ht="27" customHeight="1">
      <x:c r="A33" s="5" t="str">
        <x:v>DeepSeek</x:v>
      </x:c>
      <x:c r="B33" s="5" t="str">
        <x:v>Q7</x:v>
      </x:c>
      <x:c r="C33" s="5" t="str">
        <x:v>健身新手补充蛋白，先把4种乳清蛋白粉路线看懂再定品牌_功能营养_什么值得买</x:v>
      </x:c>
      <x:c r="D33" s="5" t="str">
        <x:v>https://post.smzdm.com/p/a6z0g4pg/</x:v>
      </x:c>
      <x:c r="E33" s="5" t="str">
        <x:v>post.smzdm.com</x:v>
      </x:c>
      <x:c r="F33" s="5" t="str">
        <x:v>UGC/视频/公众号</x:v>
      </x:c>
      <x:c r="G33" s="5" t="str">
        <x:v>否</x:v>
      </x:c>
      <x:c r="H33" s="5" t="str">
        <x:v>诺特兰德、汤臣倍健、Myprotein、ON/欧普特蒙、肌肉科技</x:v>
      </x:c>
      <x:c r="I33" s="5" t="str">
        <x:v>自然</x:v>
      </x:c>
      <x:c r="J33" s="5" t="str">
        <x:v>未核实</x:v>
      </x:c>
    </x:row>
    <x:row r="34" ht="27" customHeight="1">
      <x:c r="A34" s="5" t="str">
        <x:v>DeepSeek</x:v>
      </x:c>
      <x:c r="B34" s="5" t="str">
        <x:v>Q7</x:v>
      </x:c>
      <x:c r="C34" s="5" t="str">
        <x:v>页面未提供标题（引用编号）</x:v>
      </x:c>
      <x:c r="D34" s="5" t="str">
        <x:v>http://news.miaoshou.com/news/Bnjm5DOdbg61po2W.html#1</x:v>
      </x:c>
      <x:c r="E34" s="5" t="str">
        <x:v>news.miaoshou.com</x:v>
      </x:c>
      <x:c r="F34" s="5" t="str">
        <x:v>其他网页</x:v>
      </x:c>
      <x:c r="G34" s="5" t="str">
        <x:v>否</x:v>
      </x:c>
      <x:c r="H34" s="5" t="str">
        <x:v>诺特兰德、汤臣倍健、Myprotein、ON/欧普特蒙、肌肉科技</x:v>
      </x:c>
      <x:c r="I34" s="5" t="str">
        <x:v>自然</x:v>
      </x:c>
      <x:c r="J34" s="5" t="str">
        <x:v>未核实</x:v>
      </x:c>
    </x:row>
    <x:row r="35" ht="27" customHeight="1">
      <x:c r="A35" s="5" t="str">
        <x:v>DeepSeek</x:v>
      </x:c>
      <x:c r="B35" s="5" t="str">
        <x:v>Q7</x:v>
      </x:c>
      <x:c r="C35" s="5" t="str">
        <x:v>页面未提供标题（引用编号）</x:v>
      </x:c>
      <x:c r="D35" s="5" t="str">
        <x:v>http://news.miaoshou.com/news/6z34m1nq8daDgNrx.html#1</x:v>
      </x:c>
      <x:c r="E35" s="5" t="str">
        <x:v>news.miaoshou.com</x:v>
      </x:c>
      <x:c r="F35" s="5" t="str">
        <x:v>其他网页</x:v>
      </x:c>
      <x:c r="G35" s="5" t="str">
        <x:v>否</x:v>
      </x:c>
      <x:c r="H35" s="5" t="str">
        <x:v>诺特兰德、汤臣倍健、Myprotein、ON/欧普特蒙、肌肉科技</x:v>
      </x:c>
      <x:c r="I35" s="5" t="str">
        <x:v>自然</x:v>
      </x:c>
      <x:c r="J35" s="5" t="str">
        <x:v>未核实</x:v>
      </x:c>
    </x:row>
    <x:row r="36" ht="27" customHeight="1">
      <x:c r="A36" s="5" t="str">
        <x:v>DeepSeek</x:v>
      </x:c>
      <x:c r="B36" s="5" t="str">
        <x:v>Q8</x:v>
      </x:c>
      <x:c r="C36" s="5" t="str">
        <x:v>蛋白粉，你真的选对了吗？听听中山一院广西医院营养科医生的“硬核”建议</x:v>
      </x:c>
      <x:c r="D36" s="5" t="str">
        <x:v>https://www.zsyygxyy.org.cn/news/newsyyxw/4850.html</x:v>
      </x:c>
      <x:c r="E36" s="5" t="str">
        <x:v>zsyygxyy.org.cn</x:v>
      </x:c>
      <x:c r="F36" s="5" t="str">
        <x:v>其他网页</x:v>
      </x:c>
      <x:c r="G36" s="5" t="str">
        <x:v>否</x:v>
      </x:c>
      <x:c r="H36" s="5" t="str">
        <x:v>康比特、Myprotein、ON/欧普特蒙、狄马泰斯</x:v>
      </x:c>
      <x:c r="I36" s="5" t="str">
        <x:v>自然</x:v>
      </x:c>
      <x:c r="J36" s="5" t="str">
        <x:v>未核实</x:v>
      </x:c>
    </x:row>
    <x:row r="37" ht="27" customHeight="1">
      <x:c r="A37" s="5" t="str">
        <x:v>DeepSeek</x:v>
      </x:c>
      <x:c r="B37" s="5" t="str">
        <x:v>Q8</x:v>
      </x:c>
      <x:c r="C37" s="5" t="str">
        <x:v>知吗？开门┋蛋白质补充选择题：蛋白粉是“捷径”，还是天然食物更靠谱？</x:v>
      </x:c>
      <x:c r="D37" s="5" t="str">
        <x:v>https://cloud.kepuchina.cn/h5/detail?id=7436105219035611136</x:v>
      </x:c>
      <x:c r="E37" s="5" t="str">
        <x:v>cloud.kepuchina.cn</x:v>
      </x:c>
      <x:c r="F37" s="5" t="str">
        <x:v>其他网页</x:v>
      </x:c>
      <x:c r="G37" s="5" t="str">
        <x:v>否</x:v>
      </x:c>
      <x:c r="H37" s="5" t="str">
        <x:v>康比特、Myprotein、ON/欧普特蒙、狄马泰斯</x:v>
      </x:c>
      <x:c r="I37" s="5" t="str">
        <x:v>自然</x:v>
      </x:c>
      <x:c r="J37" s="5" t="str">
        <x:v>未核实</x:v>
      </x:c>
    </x:row>
    <x:row r="38" ht="27" customHeight="1">
      <x:c r="A38" s="5" t="str">
        <x:v>DeepSeek</x:v>
      </x:c>
      <x:c r="B38" s="5" t="str">
        <x:v>Q8</x:v>
      </x:c>
      <x:c r="C38" s="5" t="str">
        <x:v>蛋白粉哪个好？2026年按人群选择蛋白粉品牌的实用参考</x:v>
      </x:c>
      <x:c r="D38" s="5" t="str">
        <x:v>http://news.miaoshou.com/news/8wvGy1E8Vo7DN6lP.html#1</x:v>
      </x:c>
      <x:c r="E38" s="5" t="str">
        <x:v>news.miaoshou.com</x:v>
      </x:c>
      <x:c r="F38" s="5" t="str">
        <x:v>其他网页</x:v>
      </x:c>
      <x:c r="G38" s="5" t="str">
        <x:v>否</x:v>
      </x:c>
      <x:c r="H38" s="5" t="str">
        <x:v>康比特、Myprotein、ON/欧普特蒙、狄马泰斯</x:v>
      </x:c>
      <x:c r="I38" s="5" t="str">
        <x:v>自然</x:v>
      </x:c>
      <x:c r="J38" s="5" t="str">
        <x:v>未核实</x:v>
      </x:c>
    </x:row>
    <x:row r="39" ht="27" customHeight="1">
      <x:c r="A39" s="5" t="str">
        <x:v>DeepSeek</x:v>
      </x:c>
      <x:c r="B39" s="5" t="str">
        <x:v>Q8</x:v>
      </x:c>
      <x:c r="C39" s="5" t="str">
        <x:v>分离乳清蛋白粉哪个品牌好？高蛋白、低乳糖与快慢蛋白配方解析_功能营养_什么值得买</x:v>
      </x:c>
      <x:c r="D39" s="5" t="str">
        <x:v>https://post.smzdm.com/p/ae6v9x7z/</x:v>
      </x:c>
      <x:c r="E39" s="5" t="str">
        <x:v>post.smzdm.com</x:v>
      </x:c>
      <x:c r="F39" s="5" t="str">
        <x:v>UGC/视频/公众号</x:v>
      </x:c>
      <x:c r="G39" s="5" t="str">
        <x:v>否</x:v>
      </x:c>
      <x:c r="H39" s="5" t="str">
        <x:v>康比特、Myprotein、ON/欧普特蒙、狄马泰斯</x:v>
      </x:c>
      <x:c r="I39" s="5" t="str">
        <x:v>自然</x:v>
      </x:c>
      <x:c r="J39" s="5" t="str">
        <x:v>未核实</x:v>
      </x:c>
    </x:row>
    <x:row r="40" ht="27" customHeight="1">
      <x:c r="A40" s="5" t="str">
        <x:v>DeepSeek</x:v>
      </x:c>
      <x:c r="B40" s="5" t="str">
        <x:v>Q9</x:v>
      </x:c>
      <x:c r="C40" s="5" t="str">
        <x:v>页面未提供标题（引用编号）</x:v>
      </x:c>
      <x:c r="D40" s="5" t="str">
        <x:v>https://guangdiu.com/detail.php?id=27238229</x:v>
      </x:c>
      <x:c r="E40" s="5" t="str">
        <x:v>guangdiu.com</x:v>
      </x:c>
      <x:c r="F40" s="5" t="str">
        <x:v>其他网页</x:v>
      </x:c>
      <x:c r="G40" s="5" t="str">
        <x:v>是</x:v>
      </x:c>
      <x:c r="H40" s="5" t="str">
        <x:v>怡可纳、京东京造、BD能量、诺特兰德、康恩贝、江中、Myprotein、贝塔尔、捷氏</x:v>
      </x:c>
      <x:c r="I40" s="5" t="str">
        <x:v>自然</x:v>
      </x:c>
      <x:c r="J40" s="5" t="str">
        <x:v>未核实</x:v>
      </x:c>
    </x:row>
    <x:row r="41" ht="27" customHeight="1">
      <x:c r="A41" s="5" t="str">
        <x:v>DeepSeek</x:v>
      </x:c>
      <x:c r="B41" s="5" t="str">
        <x:v>Q9</x:v>
      </x:c>
      <x:c r="C41" s="5" t="str">
        <x:v>洋小二海淘网|简简单单淘全球！</x:v>
      </x:c>
      <x:c r="D41" s="5" t="str">
        <x:v>https://www.yxeht.com/index.php/goods/view/id/2208927.html</x:v>
      </x:c>
      <x:c r="E41" s="5" t="str">
        <x:v>yxeht.com</x:v>
      </x:c>
      <x:c r="F41" s="5" t="str">
        <x:v>其他网页</x:v>
      </x:c>
      <x:c r="G41" s="5" t="str">
        <x:v>是</x:v>
      </x:c>
      <x:c r="H41" s="5" t="str">
        <x:v>怡可纳、京东京造、BD能量、诺特兰德、康恩贝、江中、Myprotein、贝塔尔、捷氏</x:v>
      </x:c>
      <x:c r="I41" s="5" t="str">
        <x:v>自然</x:v>
      </x:c>
      <x:c r="J41" s="5" t="str">
        <x:v>未核实</x:v>
      </x:c>
    </x:row>
    <x:row r="42" ht="27" customHeight="1">
      <x:c r="A42" s="5" t="str">
        <x:v>DeepSeek</x:v>
      </x:c>
      <x:c r="B42" s="5" t="str">
        <x:v>Q9</x:v>
      </x:c>
      <x:c r="C42" s="5" t="str">
        <x:v>平价增肌蛋白粉怎么挑！按预算分级认准纯乳清避开劣质坑 - 今日头条</x:v>
      </x:c>
      <x:c r="D42" s="5" t="str">
        <x:v>https://www.toutiao.com/article/7684977285019058717/?wid=1789782416809</x:v>
      </x:c>
      <x:c r="E42" s="5" t="str">
        <x:v>toutiao.com</x:v>
      </x:c>
      <x:c r="F42" s="5" t="str">
        <x:v>UGC/视频/公众号</x:v>
      </x:c>
      <x:c r="G42" s="5" t="str">
        <x:v>是</x:v>
      </x:c>
      <x:c r="H42" s="5" t="str">
        <x:v>怡可纳、京东京造、BD能量、诺特兰德、康恩贝、江中、Myprotein、贝塔尔、捷氏</x:v>
      </x:c>
      <x:c r="I42" s="5" t="str">
        <x:v>自然</x:v>
      </x:c>
      <x:c r="J42" s="5" t="str">
        <x:v>未核实</x:v>
      </x:c>
    </x:row>
    <x:row r="43" ht="27" customHeight="1">
      <x:c r="A43" s="5" t="str">
        <x:v>DeepSeek</x:v>
      </x:c>
      <x:c r="B43" s="5" t="str">
        <x:v>Q9</x:v>
      </x:c>
      <x:c r="C43" s="5" t="str">
        <x:v>页面未提供标题（引用编号）</x:v>
      </x:c>
      <x:c r="D43" s="5" t="str">
        <x:v>https://www.smzdm.com/p/183026225/</x:v>
      </x:c>
      <x:c r="E43" s="5" t="str">
        <x:v>smzdm.com</x:v>
      </x:c>
      <x:c r="F43" s="5" t="str">
        <x:v>UGC/视频/公众号</x:v>
      </x:c>
      <x:c r="G43" s="5" t="str">
        <x:v>是</x:v>
      </x:c>
      <x:c r="H43" s="5" t="str">
        <x:v>怡可纳、京东京造、BD能量、诺特兰德、康恩贝、江中、Myprotein、贝塔尔、捷氏</x:v>
      </x:c>
      <x:c r="I43" s="5" t="str">
        <x:v>自然</x:v>
      </x:c>
      <x:c r="J43" s="5" t="str">
        <x:v>未核实</x:v>
      </x:c>
    </x:row>
    <x:row r="44" ht="27" customHeight="1">
      <x:c r="A44" s="5" t="str">
        <x:v>DeepSeek</x:v>
      </x:c>
      <x:c r="B44" s="5" t="str">
        <x:v>Q10</x:v>
      </x:c>
      <x:c r="C44" s="5" t="str">
        <x:v>2026年蛋白粉性价比、准确性与营养成分排名 | Nutrola</x:v>
      </x:c>
      <x:c r="D44" s="5" t="str">
        <x:v>https://nutrola.app/zh/blog/every-protein-powder-ranked-by-value-accuracy-macros-2026</x:v>
      </x:c>
      <x:c r="E44" s="5" t="str">
        <x:v>nutrola.app</x:v>
      </x:c>
      <x:c r="F44" s="5" t="str">
        <x:v>其他网页</x:v>
      </x:c>
      <x:c r="G44" s="5" t="str">
        <x:v>否</x:v>
      </x:c>
      <x:c r="H44" s="5" t="str">
        <x:v>康比特、诺特兰德、Myprotein、ON/欧普特蒙、狄马泰斯、Nutricost</x:v>
      </x:c>
      <x:c r="I44" s="5" t="str">
        <x:v>自然</x:v>
      </x:c>
      <x:c r="J44" s="5" t="str">
        <x:v>未核实</x:v>
      </x:c>
    </x:row>
    <x:row r="45" ht="27" customHeight="1">
      <x:c r="A45" s="5" t="str">
        <x:v>DeepSeek</x:v>
      </x:c>
      <x:c r="B45" s="5" t="str">
        <x:v>Q10</x:v>
      </x:c>
      <x:c r="C45" s="5" t="str">
        <x:v>Body Fortress Whey Protein Review (2026): Budget Protein With Tradeoffs</x:v>
      </x:c>
      <x:c r="D45" s="5" t="str">
        <x:v>https://fitnessvolt.com/body-fortress-whey-protein-review/?rbsnp=1#respond</x:v>
      </x:c>
      <x:c r="E45" s="5" t="str">
        <x:v>fitnessvolt.com</x:v>
      </x:c>
      <x:c r="F45" s="5" t="str">
        <x:v>其他网页</x:v>
      </x:c>
      <x:c r="G45" s="5" t="str">
        <x:v>否</x:v>
      </x:c>
      <x:c r="H45" s="5" t="str">
        <x:v>康比特、诺特兰德、Myprotein、ON/欧普特蒙、狄马泰斯、Nutricost</x:v>
      </x:c>
      <x:c r="I45" s="5" t="str">
        <x:v>自然</x:v>
      </x:c>
      <x:c r="J45" s="5" t="str">
        <x:v>未核实</x:v>
      </x:c>
    </x:row>
    <x:row r="46" ht="27" customHeight="1">
      <x:c r="A46" s="5" t="str">
        <x:v>DeepSeek</x:v>
      </x:c>
      <x:c r="B46" s="5" t="str">
        <x:v>Q11</x:v>
      </x:c>
      <x:c r="C46" s="5" t="str">
        <x:v>2026年蛋白质粉哪个牌子好？6个国产品牌公开参数与配方对比_功能营养_什么值得买</x:v>
      </x:c>
      <x:c r="D46" s="5" t="str">
        <x:v>https://post.smzdm.com/p/az86mkqr/</x:v>
      </x:c>
      <x:c r="E46" s="5" t="str">
        <x:v>post.smzdm.com</x:v>
      </x:c>
      <x:c r="F46" s="5" t="str">
        <x:v>UGC/视频/公众号</x:v>
      </x:c>
      <x:c r="G46" s="5" t="str">
        <x:v>否</x:v>
      </x:c>
      <x:c r="H46" s="5" t="str">
        <x:v>安琪纽特、赛霸/小赛同学、康比特、诺特兰德、汤臣倍健、元素力量、优恩、康恩贝</x:v>
      </x:c>
      <x:c r="I46" s="5" t="str">
        <x:v>自然</x:v>
      </x:c>
      <x:c r="J46" s="5" t="str">
        <x:v>未核实</x:v>
      </x:c>
    </x:row>
    <x:row r="47" ht="27" customHeight="1">
      <x:c r="A47" s="5" t="str">
        <x:v>DeepSeek</x:v>
      </x:c>
      <x:c r="B47" s="5" t="str">
        <x:v>Q11</x:v>
      </x:c>
      <x:c r="C47" s="5" t="str">
        <x:v>高蛋白粉哪个品牌好？6款国产产品蛋白含量、配方与检测解析</x:v>
      </x:c>
      <x:c r="D47" s="5" t="str">
        <x:v>http://news.miaoshou.com/news/WLMXz1jzaew1RQd5.html#1</x:v>
      </x:c>
      <x:c r="E47" s="5" t="str">
        <x:v>news.miaoshou.com</x:v>
      </x:c>
      <x:c r="F47" s="5" t="str">
        <x:v>其他网页</x:v>
      </x:c>
      <x:c r="G47" s="5" t="str">
        <x:v>否</x:v>
      </x:c>
      <x:c r="H47" s="5" t="str">
        <x:v>安琪纽特、赛霸/小赛同学、康比特、诺特兰德、汤臣倍健、元素力量、优恩、康恩贝</x:v>
      </x:c>
      <x:c r="I47" s="5" t="str">
        <x:v>自然</x:v>
      </x:c>
      <x:c r="J47" s="5" t="str">
        <x:v>未核实</x:v>
      </x:c>
    </x:row>
    <x:row r="48" ht="27" customHeight="1">
      <x:c r="A48" s="5" t="str">
        <x:v>DeepSeek</x:v>
      </x:c>
      <x:c r="B48" s="5" t="str">
        <x:v>Q11</x:v>
      </x:c>
      <x:c r="C48" s="5" t="str">
        <x:v>页面未提供标题（引用编号）</x:v>
      </x:c>
      <x:c r="D48" s="5" t="str">
        <x:v>https://post.smzdm.com/p/ae6v9x7z/</x:v>
      </x:c>
      <x:c r="E48" s="5" t="str">
        <x:v>post.smzdm.com</x:v>
      </x:c>
      <x:c r="F48" s="5" t="str">
        <x:v>UGC/视频/公众号</x:v>
      </x:c>
      <x:c r="G48" s="5" t="str">
        <x:v>否</x:v>
      </x:c>
      <x:c r="H48" s="5" t="str">
        <x:v>安琪纽特、赛霸/小赛同学、康比特、诺特兰德、汤臣倍健、元素力量、优恩、康恩贝</x:v>
      </x:c>
      <x:c r="I48" s="5" t="str">
        <x:v>自然</x:v>
      </x:c>
      <x:c r="J48" s="5" t="str">
        <x:v>未核实</x:v>
      </x:c>
    </x:row>
    <x:row r="49" ht="27" customHeight="1">
      <x:c r="A49" s="5" t="str">
        <x:v>DeepSeek</x:v>
      </x:c>
      <x:c r="B49" s="5" t="str">
        <x:v>Q11</x:v>
      </x:c>
      <x:c r="C49" s="5" t="str">
        <x:v>2026年比较好的蛋白粉品牌有哪些？6款国产产品按配方与场景解析</x:v>
      </x:c>
      <x:c r="D49" s="5" t="str">
        <x:v>https://www.xinzhibio.bioon.com.cn/article/7ae8307b24c3</x:v>
      </x:c>
      <x:c r="E49" s="5" t="str">
        <x:v>xinzhibio.bioon.com.cn</x:v>
      </x:c>
      <x:c r="F49" s="5" t="str">
        <x:v>其他网页</x:v>
      </x:c>
      <x:c r="G49" s="5" t="str">
        <x:v>否</x:v>
      </x:c>
      <x:c r="H49" s="5" t="str">
        <x:v>安琪纽特、赛霸/小赛同学、康比特、诺特兰德、汤臣倍健、元素力量、优恩、康恩贝</x:v>
      </x:c>
      <x:c r="I49" s="5" t="str">
        <x:v>自然</x:v>
      </x:c>
      <x:c r="J49" s="5" t="str">
        <x:v>未核实</x:v>
      </x:c>
    </x:row>
    <x:row r="50" ht="27" customHeight="1">
      <x:c r="A50" s="5" t="str">
        <x:v>DeepSeek</x:v>
      </x:c>
      <x:c r="B50" s="5" t="str">
        <x:v>Q11</x:v>
      </x:c>
      <x:c r="C50" s="5" t="str">
        <x:v>页面未提供标题（引用编号）</x:v>
      </x:c>
      <x:c r="D50" s="5" t="str">
        <x:v>https://cjyun.10yan.com.cn/p/449941.html#comment</x:v>
      </x:c>
      <x:c r="E50" s="5" t="str">
        <x:v>cjyun.10yan.com.cn</x:v>
      </x:c>
      <x:c r="F50" s="5" t="str">
        <x:v>其他网页</x:v>
      </x:c>
      <x:c r="G50" s="5" t="str">
        <x:v>否</x:v>
      </x:c>
      <x:c r="H50" s="5" t="str">
        <x:v>安琪纽特、赛霸/小赛同学、康比特、诺特兰德、汤臣倍健、元素力量、优恩、康恩贝</x:v>
      </x:c>
      <x:c r="I50" s="5" t="str">
        <x:v>自然</x:v>
      </x:c>
      <x:c r="J50" s="5" t="str">
        <x:v>未核实</x:v>
      </x:c>
    </x:row>
    <x:row r="51" ht="27" customHeight="1">
      <x:c r="A51" s="5" t="str">
        <x:v>DeepSeek</x:v>
      </x:c>
      <x:c r="B51" s="5" t="str">
        <x:v>Q12</x:v>
      </x:c>
      <x:c r="C51" s="5" t="str">
        <x:v>2026年蛋白质粉哪个牌子好？6个国产品牌公开参数与配方对比_功能营养_什么值得买</x:v>
      </x:c>
      <x:c r="D51" s="5" t="str">
        <x:v>https://post.smzdm.com/p/az86mkqr/</x:v>
      </x:c>
      <x:c r="E51" s="5" t="str">
        <x:v>post.smzdm.com</x:v>
      </x:c>
      <x:c r="F51" s="5" t="str">
        <x:v>UGC/视频/公众号</x:v>
      </x:c>
      <x:c r="G51" s="5" t="str">
        <x:v>否</x:v>
      </x:c>
      <x:c r="H51" s="5" t="str">
        <x:v>概特/盖特、京东京造、康比特、Myprotein、ON/欧普特蒙、肌肉科技</x:v>
      </x:c>
      <x:c r="I51" s="5" t="str">
        <x:v>自然</x:v>
      </x:c>
      <x:c r="J51" s="5" t="str">
        <x:v>未核实</x:v>
      </x:c>
    </x:row>
    <x:row r="52" ht="27" customHeight="1">
      <x:c r="A52" s="5" t="str">
        <x:v>DeepSeek</x:v>
      </x:c>
      <x:c r="B52" s="5" t="str">
        <x:v>Q12</x:v>
      </x:c>
      <x:c r="C52" s="5" t="str">
        <x:v>页面未提供标题（引用编号）</x:v>
      </x:c>
      <x:c r="D52" s="5" t="str">
        <x:v>https://post.smzdm.com/p/a4qr9nnw/#1#1#1</x:v>
      </x:c>
      <x:c r="E52" s="5" t="str">
        <x:v>post.smzdm.com</x:v>
      </x:c>
      <x:c r="F52" s="5" t="str">
        <x:v>UGC/视频/公众号</x:v>
      </x:c>
      <x:c r="G52" s="5" t="str">
        <x:v>否</x:v>
      </x:c>
      <x:c r="H52" s="5" t="str">
        <x:v>概特/盖特、京东京造、康比特、Myprotein、ON/欧普特蒙、肌肉科技</x:v>
      </x:c>
      <x:c r="I52" s="5" t="str">
        <x:v>自然</x:v>
      </x:c>
      <x:c r="J52" s="5" t="str">
        <x:v>未核实</x:v>
      </x:c>
    </x:row>
    <x:row r="53" ht="27" customHeight="1">
      <x:c r="A53" s="5" t="str">
        <x:v>DeepSeek</x:v>
      </x:c>
      <x:c r="B53" s="5" t="str">
        <x:v>Q12</x:v>
      </x:c>
      <x:c r="C53" s="5" t="str">
        <x:v>【學生黨必睇💡平價高質蛋白粉邊款抵買？宿舍沖泡攻略+成本拆解！】</x:v>
      </x:c>
      <x:c r="D53" s="5" t="str">
        <x:v>https://world.taobao.com/lang/zh-tw/shopping-guide/1980225789202792448.htm?spm=a21wu.12321156-tw%2Fdefault.knowledge-recommend.7&amp;from=redirectFromAutoCallApp#1</x:v>
      </x:c>
      <x:c r="E53" s="5" t="str">
        <x:v>world.taobao.com</x:v>
      </x:c>
      <x:c r="F53" s="5" t="str">
        <x:v>电商</x:v>
      </x:c>
      <x:c r="G53" s="5" t="str">
        <x:v>否</x:v>
      </x:c>
      <x:c r="H53" s="5" t="str">
        <x:v>概特/盖特、京东京造、康比特、Myprotein、ON/欧普特蒙、肌肉科技</x:v>
      </x:c>
      <x:c r="I53" s="5" t="str">
        <x:v>自然</x:v>
      </x:c>
      <x:c r="J53" s="5" t="str">
        <x:v>未核实</x:v>
      </x:c>
    </x:row>
    <x:row r="54" ht="27" customHeight="1">
      <x:c r="A54" s="5" t="str">
        <x:v>DeepSeek</x:v>
      </x:c>
      <x:c r="B54" s="5" t="str">
        <x:v>Q12</x:v>
      </x:c>
      <x:c r="C54" s="5" t="str">
        <x:v>页面未提供标题（引用编号）</x:v>
      </x:c>
      <x:c r="D54" s="5" t="str">
        <x:v>https://world.taobao.com/lang/zh-tw/shopping-guide/1995650685382688768.htm?from=redirectFromAutoCallApp#1#1#1</x:v>
      </x:c>
      <x:c r="E54" s="5" t="str">
        <x:v>world.taobao.com</x:v>
      </x:c>
      <x:c r="F54" s="5" t="str">
        <x:v>电商</x:v>
      </x:c>
      <x:c r="G54" s="5" t="str">
        <x:v>否</x:v>
      </x:c>
      <x:c r="H54" s="5" t="str">
        <x:v>概特/盖特、京东京造、康比特、Myprotein、ON/欧普特蒙、肌肉科技</x:v>
      </x:c>
      <x:c r="I54" s="5" t="str">
        <x:v>自然</x:v>
      </x:c>
      <x:c r="J54" s="5" t="str">
        <x:v>未核实</x:v>
      </x:c>
    </x:row>
    <x:row r="55" ht="27" customHeight="1">
      <x:c r="A55" s="5" t="str">
        <x:v>DeepSeek</x:v>
      </x:c>
      <x:c r="B55" s="5" t="str">
        <x:v>Q12</x:v>
      </x:c>
      <x:c r="C55" s="5" t="str">
        <x:v>每月预算有限怎么选蛋白粉？六款产品按每日成本排序 - 首页 &gt; 妙手资讯&gt; 医药动态&gt; 每月预算有限怎么选蛋白粉</x:v>
      </x:c>
      <x:c r="D55" s="5" t="str">
        <x:v>http://news.miaoshou.com/news/Bnjm5DOdbg61po2W.html#1</x:v>
      </x:c>
      <x:c r="E55" s="5" t="str">
        <x:v>news.miaoshou.com</x:v>
      </x:c>
      <x:c r="F55" s="5" t="str">
        <x:v>其他网页</x:v>
      </x:c>
      <x:c r="G55" s="5" t="str">
        <x:v>否</x:v>
      </x:c>
      <x:c r="H55" s="5" t="str">
        <x:v>概特/盖特、京东京造、康比特、Myprotein、ON/欧普特蒙、肌肉科技</x:v>
      </x:c>
      <x:c r="I55" s="5" t="str">
        <x:v>自然</x:v>
      </x:c>
      <x:c r="J55" s="5" t="str">
        <x:v>未核实</x:v>
      </x:c>
    </x:row>
    <x:row r="56" ht="27" customHeight="1">
      <x:c r="A56" s="5" t="str">
        <x:v>DeepSeek</x:v>
      </x:c>
      <x:c r="B56" s="5" t="str">
        <x:v>Q12</x:v>
      </x:c>
      <x:c r="C56" s="5" t="str">
        <x:v>页面未提供标题（引用编号）</x:v>
      </x:c>
      <x:c r="D56" s="5" t="str">
        <x:v>https://world.taobao.com/lang/zh-tw/shopping-guide/2031264706374664192.htm#1</x:v>
      </x:c>
      <x:c r="E56" s="5" t="str">
        <x:v>world.taobao.com</x:v>
      </x:c>
      <x:c r="F56" s="5" t="str">
        <x:v>电商</x:v>
      </x:c>
      <x:c r="G56" s="5" t="str">
        <x:v>否</x:v>
      </x:c>
      <x:c r="H56" s="5" t="str">
        <x:v>概特/盖特、京东京造、康比特、Myprotein、ON/欧普特蒙、肌肉科技</x:v>
      </x:c>
      <x:c r="I56" s="5" t="str">
        <x:v>自然</x:v>
      </x:c>
      <x:c r="J56" s="5" t="str">
        <x:v>未核实</x:v>
      </x:c>
    </x:row>
    <x:row r="57" ht="27" customHeight="1">
      <x:c r="A57" s="5" t="str">
        <x:v>DeepSeek</x:v>
      </x:c>
      <x:c r="B57" s="5" t="str">
        <x:v>Q13</x:v>
      </x:c>
      <x:c r="C57" s="5" t="str">
        <x:v>蛋白粉品质排名看什么？先看能不能天天喝得下去 - 蛋白粉品质排名看什么？先看能不能天天喝得下去</x:v>
      </x:c>
      <x:c r="D57" s="5" t="str">
        <x:v>http://news.miaoshou.com/news/6z34m1nVK6a1gNrx.html#1</x:v>
      </x:c>
      <x:c r="E57" s="5" t="str">
        <x:v>news.miaoshou.com</x:v>
      </x:c>
      <x:c r="F57" s="5" t="str">
        <x:v>其他网页</x:v>
      </x:c>
      <x:c r="G57" s="5" t="str">
        <x:v>否</x:v>
      </x:c>
      <x:c r="H57" s="5" t="str">
        <x:v>Myprotein、ON/欧普特蒙、狄马泰斯、BSN、GHOST、Muscle Milk</x:v>
      </x:c>
      <x:c r="I57" s="5" t="str">
        <x:v>自然</x:v>
      </x:c>
      <x:c r="J57" s="5" t="str">
        <x:v>未核实</x:v>
      </x:c>
    </x:row>
    <x:row r="58" ht="27" customHeight="1">
      <x:c r="A58" s="5" t="str">
        <x:v>DeepSeek</x:v>
      </x:c>
      <x:c r="B58" s="5" t="str">
        <x:v>Q13</x:v>
      </x:c>
      <x:c r="C58" s="5" t="str">
        <x:v>10 Best Tasting Protein Powders of 2026 (Whey, Isolate, Plant-Based, Chocolate, Vanilla, and Dessert Picks)</x:v>
      </x:c>
      <x:c r="D58" s="5" t="str">
        <x:v>https://fitnessvolt.com/best-tasting-protein-review/?rbsnp=1#respond</x:v>
      </x:c>
      <x:c r="E58" s="5" t="str">
        <x:v>fitnessvolt.com</x:v>
      </x:c>
      <x:c r="F58" s="5" t="str">
        <x:v>其他网页</x:v>
      </x:c>
      <x:c r="G58" s="5" t="str">
        <x:v>否</x:v>
      </x:c>
      <x:c r="H58" s="5" t="str">
        <x:v>Myprotein、ON/欧普特蒙、狄马泰斯、BSN、GHOST、Muscle Milk</x:v>
      </x:c>
      <x:c r="I58" s="5" t="str">
        <x:v>自然</x:v>
      </x:c>
      <x:c r="J58" s="5" t="str">
        <x:v>未核实</x:v>
      </x:c>
    </x:row>
    <x:row r="59" ht="27" customHeight="1">
      <x:c r="A59" s="5" t="str">
        <x:v>DeepSeek</x:v>
      </x:c>
      <x:c r="B59" s="5" t="str">
        <x:v>Q13</x:v>
      </x:c>
      <x:c r="C59" s="5" t="str">
        <x:v>页面未提供标题（引用编号）</x:v>
      </x:c>
      <x:c r="D59" s="5" t="str">
        <x:v>https://www.thekitchn.com/best-chocolate-protein-powder-23705716?utm_source=RSS&amp;utm_medium=feed&amp;utm_campaign=Category%2FChannel:+main#1</x:v>
      </x:c>
      <x:c r="E59" s="5" t="str">
        <x:v>thekitchn.com</x:v>
      </x:c>
      <x:c r="F59" s="5" t="str">
        <x:v>其他网页</x:v>
      </x:c>
      <x:c r="G59" s="5" t="str">
        <x:v>否</x:v>
      </x:c>
      <x:c r="H59" s="5" t="str">
        <x:v>Myprotein、ON/欧普特蒙、狄马泰斯、BSN、GHOST、Muscle Milk</x:v>
      </x:c>
      <x:c r="I59" s="5" t="str">
        <x:v>自然</x:v>
      </x:c>
      <x:c r="J59" s="5" t="str">
        <x:v>未核实</x:v>
      </x:c>
    </x:row>
    <x:row r="60" ht="27" customHeight="1">
      <x:c r="A60" s="5" t="str">
        <x:v>DeepSeek</x:v>
      </x:c>
      <x:c r="B60" s="5" t="str">
        <x:v>Q13</x:v>
      </x:c>
      <x:c r="C60" s="5" t="str">
        <x:v>2026年蛋白质粉哪个牌子好？6个国产品牌公开参数与配方对比_功能营养_什么值得买</x:v>
      </x:c>
      <x:c r="D60" s="5" t="str">
        <x:v>https://post.smzdm.com/p/az86mkqr/</x:v>
      </x:c>
      <x:c r="E60" s="5" t="str">
        <x:v>post.smzdm.com</x:v>
      </x:c>
      <x:c r="F60" s="5" t="str">
        <x:v>UGC/视频/公众号</x:v>
      </x:c>
      <x:c r="G60" s="5" t="str">
        <x:v>否</x:v>
      </x:c>
      <x:c r="H60" s="5" t="str">
        <x:v>Myprotein、ON/欧普特蒙、狄马泰斯、BSN、GHOST、Muscle Milk</x:v>
      </x:c>
      <x:c r="I60" s="5" t="str">
        <x:v>自然</x:v>
      </x:c>
      <x:c r="J60" s="5" t="str">
        <x:v>未核实</x:v>
      </x:c>
    </x:row>
    <x:row r="61" ht="27" customHeight="1">
      <x:c r="A61" s="5" t="str">
        <x:v>DeepSeek</x:v>
      </x:c>
      <x:c r="B61" s="5" t="str">
        <x:v>Q14</x:v>
      </x:c>
      <x:c r="C61" s="5" t="str">
        <x:v>乳清蛋白平替？安琪酵母、好丽友都在用</x:v>
      </x:c>
      <x:c r="D61" s="5" t="str">
        <x:v>https://www.foodaily.com/articles/40621#1#1#1</x:v>
      </x:c>
      <x:c r="E61" s="5" t="str">
        <x:v>foodaily.com</x:v>
      </x:c>
      <x:c r="F61" s="5" t="str">
        <x:v>其他网页</x:v>
      </x:c>
      <x:c r="G61" s="5" t="str">
        <x:v>是</x:v>
      </x:c>
      <x:c r="H61" s="5" t="str">
        <x:v>怡可纳、安琪纽特、赛霸/小赛同学、概特/盖特、京东京造、BD能量</x:v>
      </x:c>
      <x:c r="I61" s="5" t="str">
        <x:v>自然</x:v>
      </x:c>
      <x:c r="J61" s="5" t="str">
        <x:v>未核实</x:v>
      </x:c>
    </x:row>
    <x:row r="62" ht="27" customHeight="1">
      <x:c r="A62" s="5" t="str">
        <x:v>DeepSeek</x:v>
      </x:c>
      <x:c r="B62" s="5" t="str">
        <x:v>Q14</x:v>
      </x:c>
      <x:c r="C62" s="5" t="str">
        <x:v>页面未提供标题（引用编号）</x:v>
      </x:c>
      <x:c r="D62" s="5" t="str">
        <x:v>http://hb.news.cn/20250326/1e2cec3bf56845f3a93c93dd13dd2297/c.html</x:v>
      </x:c>
      <x:c r="E62" s="5" t="str">
        <x:v>hb.news.cn</x:v>
      </x:c>
      <x:c r="F62" s="5" t="str">
        <x:v>其他网页</x:v>
      </x:c>
      <x:c r="G62" s="5" t="str">
        <x:v>是</x:v>
      </x:c>
      <x:c r="H62" s="5" t="str">
        <x:v>怡可纳、安琪纽特、赛霸/小赛同学、概特/盖特、京东京造、BD能量</x:v>
      </x:c>
      <x:c r="I62" s="5" t="str">
        <x:v>自然</x:v>
      </x:c>
      <x:c r="J62" s="5" t="str">
        <x:v>未核实</x:v>
      </x:c>
    </x:row>
    <x:row r="63" ht="27" customHeight="1">
      <x:c r="A63" s="5" t="str">
        <x:v>DeepSeek</x:v>
      </x:c>
      <x:c r="B63" s="5" t="str">
        <x:v>Q14</x:v>
      </x:c>
      <x:c r="C63" s="5" t="str">
        <x:v>我真的翻完了50篇帖子、1163条评论：20款酵母蛋白粉真实排名 - 今日头条</x:v>
      </x:c>
      <x:c r="D63" s="5" t="str">
        <x:v>https://m.toutiao.com/article/7668163446449504803/?upstream_biz=VolcEngine&amp;source=m_redirect&amp;wid=1788778015047&amp;upstream_biz=toutiao_pc&amp;source=m_redirect&amp;upstream_biz=toutiao_pc#1</x:v>
      </x:c>
      <x:c r="E63" s="5" t="str">
        <x:v>toutiao.com</x:v>
      </x:c>
      <x:c r="F63" s="5" t="str">
        <x:v>UGC/视频/公众号</x:v>
      </x:c>
      <x:c r="G63" s="5" t="str">
        <x:v>是</x:v>
      </x:c>
      <x:c r="H63" s="5" t="str">
        <x:v>怡可纳、安琪纽特、赛霸/小赛同学、概特/盖特、京东京造、BD能量</x:v>
      </x:c>
      <x:c r="I63" s="5" t="str">
        <x:v>自然</x:v>
      </x:c>
      <x:c r="J63" s="5" t="str">
        <x:v>未核实</x:v>
      </x:c>
    </x:row>
    <x:row r="64" ht="27" customHeight="1">
      <x:c r="A64" s="5" t="str">
        <x:v>DeepSeek</x:v>
      </x:c>
      <x:c r="B64" s="5" t="str">
        <x:v>Q14</x:v>
      </x:c>
      <x:c r="C64" s="5" t="str">
        <x:v>酵母蛋白粉</x:v>
      </x:c>
      <x:c r="D64" s="5" t="str">
        <x:v>https://bbs.hupu.com/641366547.html</x:v>
      </x:c>
      <x:c r="E64" s="5" t="str">
        <x:v>bbs.hupu.com</x:v>
      </x:c>
      <x:c r="F64" s="5" t="str">
        <x:v>其他网页</x:v>
      </x:c>
      <x:c r="G64" s="5" t="str">
        <x:v>是</x:v>
      </x:c>
      <x:c r="H64" s="5" t="str">
        <x:v>怡可纳、安琪纽特、赛霸/小赛同学、概特/盖特、京东京造、BD能量</x:v>
      </x:c>
      <x:c r="I64" s="5" t="str">
        <x:v>自然</x:v>
      </x:c>
      <x:c r="J64" s="5" t="str">
        <x:v>未核实</x:v>
      </x:c>
    </x:row>
    <x:row r="65" ht="27" customHeight="1">
      <x:c r="A65" s="5" t="str">
        <x:v>DeepSeek</x:v>
      </x:c>
      <x:c r="B65" s="5" t="str">
        <x:v>Q14</x:v>
      </x:c>
      <x:c r="C65" s="5" t="str">
        <x:v>页面未提供标题（引用编号）</x:v>
      </x:c>
      <x:c r="D65" s="5" t="str">
        <x:v>https://bbs.nga.cn/read.php?tid=44532032&amp;page=e&amp;rand=493</x:v>
      </x:c>
      <x:c r="E65" s="5" t="str">
        <x:v>bbs.nga.cn</x:v>
      </x:c>
      <x:c r="F65" s="5" t="str">
        <x:v>其他网页</x:v>
      </x:c>
      <x:c r="G65" s="5" t="str">
        <x:v>是</x:v>
      </x:c>
      <x:c r="H65" s="5" t="str">
        <x:v>怡可纳、安琪纽特、赛霸/小赛同学、概特/盖特、京东京造、BD能量</x:v>
      </x:c>
      <x:c r="I65" s="5" t="str">
        <x:v>自然</x:v>
      </x:c>
      <x:c r="J65" s="5" t="str">
        <x:v>未核实</x:v>
      </x:c>
    </x:row>
    <x:row r="66" ht="27" customHeight="1">
      <x:c r="A66" s="5" t="str">
        <x:v>DeepSeek</x:v>
      </x:c>
      <x:c r="B66" s="5" t="str">
        <x:v>Q14</x:v>
      </x:c>
      <x:c r="C66" s="5" t="str">
        <x:v>乳清蛋白涨疯了？酵母蛋白成平价新宠，实测对比谁更值_健体强身_什么值得买</x:v>
      </x:c>
      <x:c r="D66" s="5" t="str">
        <x:v>https://post.smzdm.com/p/a5rve8g3/#1#1</x:v>
      </x:c>
      <x:c r="E66" s="5" t="str">
        <x:v>post.smzdm.com</x:v>
      </x:c>
      <x:c r="F66" s="5" t="str">
        <x:v>UGC/视频/公众号</x:v>
      </x:c>
      <x:c r="G66" s="5" t="str">
        <x:v>是</x:v>
      </x:c>
      <x:c r="H66" s="5" t="str">
        <x:v>怡可纳、安琪纽特、赛霸/小赛同学、概特/盖特、京东京造、BD能量</x:v>
      </x:c>
      <x:c r="I66" s="5" t="str">
        <x:v>自然</x:v>
      </x:c>
      <x:c r="J66" s="5" t="str">
        <x:v>未核实</x:v>
      </x:c>
    </x:row>
    <x:row r="67" ht="27" customHeight="1">
      <x:c r="A67" s="5" t="str">
        <x:v>DeepSeek</x:v>
      </x:c>
      <x:c r="B67" s="5" t="str">
        <x:v>Q15</x:v>
      </x:c>
      <x:c r="C67" s="5" t="str">
        <x:v>页面未提供标题（引用编号）</x:v>
      </x:c>
      <x:c r="D67" s="5" t="str">
        <x:v>https://www.sgpjbg.com/labelsyh/yundongyingyangxingyejingzhenggeju/1/6678243.html#1</x:v>
      </x:c>
      <x:c r="E67" s="5" t="str">
        <x:v>sgpjbg.com</x:v>
      </x:c>
      <x:c r="F67" s="5" t="str">
        <x:v>其他网页</x:v>
      </x:c>
      <x:c r="G67" s="5" t="str">
        <x:v>否</x:v>
      </x:c>
      <x:c r="H67" s="5" t="str">
        <x:v>赛霸/小赛同学、康比特、诺特兰德、汤臣倍健、FoYes/赴野士、迈胜、元素力量、康恩贝</x:v>
      </x:c>
      <x:c r="I67" s="5" t="str">
        <x:v>自然</x:v>
      </x:c>
      <x:c r="J67" s="5" t="str">
        <x:v>未核实</x:v>
      </x:c>
    </x:row>
    <x:row r="68" ht="27" customHeight="1">
      <x:c r="A68" s="5" t="str">
        <x:v>DeepSeek</x:v>
      </x:c>
      <x:c r="B68" s="5" t="str">
        <x:v>Q15</x:v>
      </x:c>
      <x:c r="C68" s="5" t="str">
        <x:v>对话康比特董事长白厚增：真正的定价权来自技术壁垒与品牌信任</x:v>
      </x:c>
      <x:c r="D68" s="5" t="str">
        <x:v>https://stcn.com/article/detail/3912630.html</x:v>
      </x:c>
      <x:c r="E68" s="5" t="str">
        <x:v>stcn.com</x:v>
      </x:c>
      <x:c r="F68" s="5" t="str">
        <x:v>其他网页</x:v>
      </x:c>
      <x:c r="G68" s="5" t="str">
        <x:v>否</x:v>
      </x:c>
      <x:c r="H68" s="5" t="str">
        <x:v>赛霸/小赛同学、康比特、诺特兰德、汤臣倍健、FoYes/赴野士、迈胜、元素力量、康恩贝</x:v>
      </x:c>
      <x:c r="I68" s="5" t="str">
        <x:v>自然</x:v>
      </x:c>
      <x:c r="J68" s="5" t="str">
        <x:v>未核实</x:v>
      </x:c>
    </x:row>
    <x:row r="69" ht="27" customHeight="1">
      <x:c r="A69" s="5" t="str">
        <x:v>DeepSeek</x:v>
      </x:c>
      <x:c r="B69" s="5" t="str">
        <x:v>Q15</x:v>
      </x:c>
      <x:c r="C69" s="5" t="str">
        <x:v>高蛋白粉哪个品牌好？6款国产产品蛋白含量、配方与检测解析</x:v>
      </x:c>
      <x:c r="D69" s="5" t="str">
        <x:v>http://news.miaoshou.com/news/WLMXz1jzaew1RQd5.html#1</x:v>
      </x:c>
      <x:c r="E69" s="5" t="str">
        <x:v>news.miaoshou.com</x:v>
      </x:c>
      <x:c r="F69" s="5" t="str">
        <x:v>其他网页</x:v>
      </x:c>
      <x:c r="G69" s="5" t="str">
        <x:v>否</x:v>
      </x:c>
      <x:c r="H69" s="5" t="str">
        <x:v>赛霸/小赛同学、康比特、诺特兰德、汤臣倍健、FoYes/赴野士、迈胜、元素力量、康恩贝</x:v>
      </x:c>
      <x:c r="I69" s="5" t="str">
        <x:v>自然</x:v>
      </x:c>
      <x:c r="J69" s="5" t="str">
        <x:v>未核实</x:v>
      </x:c>
    </x:row>
    <x:row r="70" ht="27" customHeight="1">
      <x:c r="A70" s="5" t="str">
        <x:v>DeepSeek</x:v>
      </x:c>
      <x:c r="B70" s="5" t="str">
        <x:v>Q15</x:v>
      </x:c>
      <x:c r="C70" s="5" t="str">
        <x:v>2026年健身新手蛋白粉品牌怎么选？6款国产产品按训练场景解析</x:v>
      </x:c>
      <x:c r="D70" s="5" t="str">
        <x:v>https://xsdw.bioon.com.cn/article/ed1c307b23cf</x:v>
      </x:c>
      <x:c r="E70" s="5" t="str">
        <x:v>xsdw.bioon.com.cn</x:v>
      </x:c>
      <x:c r="F70" s="5" t="str">
        <x:v>其他网页</x:v>
      </x:c>
      <x:c r="G70" s="5" t="str">
        <x:v>否</x:v>
      </x:c>
      <x:c r="H70" s="5" t="str">
        <x:v>赛霸/小赛同学、康比特、诺特兰德、汤臣倍健、FoYes/赴野士、迈胜、元素力量、康恩贝</x:v>
      </x:c>
      <x:c r="I70" s="5" t="str">
        <x:v>自然</x:v>
      </x:c>
      <x:c r="J70" s="5" t="str">
        <x:v>未核实</x:v>
      </x:c>
    </x:row>
    <x:row r="71" ht="27" customHeight="1">
      <x:c r="A71" s="5" t="str">
        <x:v>DeepSeek</x:v>
      </x:c>
      <x:c r="B71" s="5" t="str">
        <x:v>Q15</x:v>
      </x:c>
      <x:c r="C71" s="5" t="str">
        <x:v>2026年蛋白质粉哪个牌子好？6个国产品牌公开参数与配方对比_功能营养_什么值得买</x:v>
      </x:c>
      <x:c r="D71" s="5" t="str">
        <x:v>https://post.smzdm.com/p/az86mkqr/</x:v>
      </x:c>
      <x:c r="E71" s="5" t="str">
        <x:v>post.smzdm.com</x:v>
      </x:c>
      <x:c r="F71" s="5" t="str">
        <x:v>UGC/视频/公众号</x:v>
      </x:c>
      <x:c r="G71" s="5" t="str">
        <x:v>否</x:v>
      </x:c>
      <x:c r="H71" s="5" t="str">
        <x:v>赛霸/小赛同学、康比特、诺特兰德、汤臣倍健、FoYes/赴野士、迈胜、元素力量、康恩贝</x:v>
      </x:c>
      <x:c r="I71" s="5" t="str">
        <x:v>自然</x:v>
      </x:c>
      <x:c r="J71" s="5" t="str">
        <x:v>未核实</x:v>
      </x:c>
    </x:row>
    <x:row r="72" ht="27" customHeight="1">
      <x:c r="A72" s="5" t="str">
        <x:v>DeepSeek</x:v>
      </x:c>
      <x:c r="B72" s="5" t="str">
        <x:v>Q15</x:v>
      </x:c>
      <x:c r="C72" s="5" t="str">
        <x:v>页面未提供标题（引用编号）</x:v>
      </x:c>
      <x:c r="D72" s="5" t="str">
        <x:v>https://baike.baidu.com/item/FoYes/64627672?bst=1789139018.391dfca269e517ec</x:v>
      </x:c>
      <x:c r="E72" s="5" t="str">
        <x:v>baike.baidu.com</x:v>
      </x:c>
      <x:c r="F72" s="5" t="str">
        <x:v>百科</x:v>
      </x:c>
      <x:c r="G72" s="5" t="str">
        <x:v>否</x:v>
      </x:c>
      <x:c r="H72" s="5" t="str">
        <x:v>赛霸/小赛同学、康比特、诺特兰德、汤臣倍健、FoYes/赴野士、迈胜、元素力量、康恩贝</x:v>
      </x:c>
      <x:c r="I72" s="5" t="str">
        <x:v>自然</x:v>
      </x:c>
      <x:c r="J72" s="5" t="str">
        <x:v>未核实</x:v>
      </x:c>
    </x:row>
    <x:row r="73" ht="27" customHeight="1">
      <x:c r="A73" s="5" t="str">
        <x:v>DeepSeek</x:v>
      </x:c>
      <x:c r="B73" s="5" t="str">
        <x:v>Q15</x:v>
      </x:c>
      <x:c r="C73" s="5" t="str">
        <x:v>页面未提供标题（引用编号）</x:v>
      </x:c>
      <x:c r="D73" s="5" t="str">
        <x:v>https://baike.baidu.com/item/%E8%B5%9B%E9%9C%B8%20CPTKING/64876295?bst=1789896745.718293b370f56cdc#1#1#1#1</x:v>
      </x:c>
      <x:c r="E73" s="5" t="str">
        <x:v>baike.baidu.com</x:v>
      </x:c>
      <x:c r="F73" s="5" t="str">
        <x:v>百科</x:v>
      </x:c>
      <x:c r="G73" s="5" t="str">
        <x:v>否</x:v>
      </x:c>
      <x:c r="H73" s="5" t="str">
        <x:v>赛霸/小赛同学、康比特、诺特兰德、汤臣倍健、FoYes/赴野士、迈胜、元素力量、康恩贝</x:v>
      </x:c>
      <x:c r="I73" s="5" t="str">
        <x:v>自然</x:v>
      </x:c>
      <x:c r="J73" s="5" t="str">
        <x:v>未核实</x:v>
      </x:c>
    </x:row>
    <x:row r="74" ht="27" customHeight="1">
      <x:c r="A74" s="5" t="str">
        <x:v>DeepSeek</x:v>
      </x:c>
      <x:c r="B74" s="5" t="str">
        <x:v>Q17</x:v>
      </x:c>
      <x:c r="C74" s="5" t="str">
        <x:v>泉康生物：致力成为复配食品科技行业的领跑者</x:v>
      </x:c>
      <x:c r="D74" s="5" t="str">
        <x:v>http://spcjh.com/index.php?id=278</x:v>
      </x:c>
      <x:c r="E74" s="5" t="str">
        <x:v>spcjh.com</x:v>
      </x:c>
      <x:c r="F74" s="5" t="str">
        <x:v>其他网页</x:v>
      </x:c>
      <x:c r="G74" s="5" t="str">
        <x:v>是</x:v>
      </x:c>
      <x:c r="H74" s="5" t="str">
        <x:v>怡可纳</x:v>
      </x:c>
      <x:c r="I74" s="5" t="str">
        <x:v>主动</x:v>
      </x:c>
      <x:c r="J74" s="5" t="str">
        <x:v>未核实</x:v>
      </x:c>
    </x:row>
    <x:row r="75" ht="27" customHeight="1">
      <x:c r="A75" s="5" t="str">
        <x:v>DeepSeek</x:v>
      </x:c>
      <x:c r="B75" s="5" t="str">
        <x:v>Q17</x:v>
      </x:c>
      <x:c r="C75" s="5" t="str">
        <x:v>虚假宣传“怡可纳”！济南怡能食品科技有限公司被罚8万元</x:v>
      </x:c>
      <x:c r="D75" s="5" t="str">
        <x:v>http://m.qlwb.com.cn/detail/27404110.html</x:v>
      </x:c>
      <x:c r="E75" s="5" t="str">
        <x:v>qlwb.com.cn</x:v>
      </x:c>
      <x:c r="F75" s="5" t="str">
        <x:v>其他网页</x:v>
      </x:c>
      <x:c r="G75" s="5" t="str">
        <x:v>是</x:v>
      </x:c>
      <x:c r="H75" s="5" t="str">
        <x:v>怡可纳</x:v>
      </x:c>
      <x:c r="I75" s="5" t="str">
        <x:v>主动</x:v>
      </x:c>
      <x:c r="J75" s="5" t="str">
        <x:v>未核实</x:v>
      </x:c>
    </x:row>
    <x:row r="76" ht="27" customHeight="1">
      <x:c r="A76" s="5" t="str">
        <x:v>DeepSeek</x:v>
      </x:c>
      <x:c r="B76" s="5" t="str">
        <x:v>Q18</x:v>
      </x:c>
      <x:c r="C76" s="5" t="str">
        <x:v>商品怡可纳 酵母蛋白粉 草莓味 2.27kg 桶装+摇摇杯</x:v>
      </x:c>
      <x:c r="D76" s="5" t="str">
        <x:v>https://wiki.smzdm.com/p/o81og88/</x:v>
      </x:c>
      <x:c r="E76" s="5" t="str">
        <x:v>wiki.smzdm.com</x:v>
      </x:c>
      <x:c r="F76" s="5" t="str">
        <x:v>UGC/视频/公众号</x:v>
      </x:c>
      <x:c r="G76" s="5" t="str">
        <x:v>是</x:v>
      </x:c>
      <x:c r="H76" s="5" t="str">
        <x:v>怡可纳</x:v>
      </x:c>
      <x:c r="I76" s="5" t="str">
        <x:v>主动</x:v>
      </x:c>
      <x:c r="J76" s="5" t="str">
        <x:v>未核实</x:v>
      </x:c>
    </x:row>
    <x:row r="77" ht="27" customHeight="1">
      <x:c r="A77" s="5" t="str">
        <x:v>DeepSeek</x:v>
      </x:c>
      <x:c r="B77" s="5" t="str">
        <x:v>Q18</x:v>
      </x:c>
      <x:c r="C77" s="5" t="str">
        <x:v>页面未提供标题（引用编号）</x:v>
      </x:c>
      <x:c r="D77" s="5" t="str">
        <x:v>https://www.smzdm.com/p/178578732/</x:v>
      </x:c>
      <x:c r="E77" s="5" t="str">
        <x:v>smzdm.com</x:v>
      </x:c>
      <x:c r="F77" s="5" t="str">
        <x:v>UGC/视频/公众号</x:v>
      </x:c>
      <x:c r="G77" s="5" t="str">
        <x:v>是</x:v>
      </x:c>
      <x:c r="H77" s="5" t="str">
        <x:v>怡可纳</x:v>
      </x:c>
      <x:c r="I77" s="5" t="str">
        <x:v>主动</x:v>
      </x:c>
      <x:c r="J77" s="5" t="str">
        <x:v>未核实</x:v>
      </x:c>
    </x:row>
    <x:row r="78" ht="27" customHeight="1">
      <x:c r="A78" s="5" t="str">
        <x:v>DeepSeek</x:v>
      </x:c>
      <x:c r="B78" s="5" t="str">
        <x:v>Q18</x:v>
      </x:c>
      <x:c r="C78" s="5" t="str">
        <x:v>这款蛋白粉也太好喝咯</x:v>
      </x:c>
      <x:c r="D78" s="5" t="str">
        <x:v>https://m.shihuo.cn/page/findCommunityDetail?id=5253459</x:v>
      </x:c>
      <x:c r="E78" s="5" t="str">
        <x:v>shihuo.cn</x:v>
      </x:c>
      <x:c r="F78" s="5" t="str">
        <x:v>UGC/视频/公众号</x:v>
      </x:c>
      <x:c r="G78" s="5" t="str">
        <x:v>是</x:v>
      </x:c>
      <x:c r="H78" s="5" t="str">
        <x:v>怡可纳</x:v>
      </x:c>
      <x:c r="I78" s="5" t="str">
        <x:v>主动</x:v>
      </x:c>
      <x:c r="J78" s="5" t="str">
        <x:v>未核实</x:v>
      </x:c>
    </x:row>
    <x:row r="79" ht="27" customHeight="1">
      <x:c r="A79" s="5" t="str">
        <x:v>DeepSeek</x:v>
      </x:c>
      <x:c r="B79" s="5" t="str">
        <x:v>Q18</x:v>
      </x:c>
      <x:c r="C79" s="5" t="str">
        <x:v>买了桶便宜的怡可纳酵母蛋白粉</x:v>
      </x:c>
      <x:c r="D79" s="5" t="str">
        <x:v>https://post.smzdm.com/talk/p/a44m83ow/#comments</x:v>
      </x:c>
      <x:c r="E79" s="5" t="str">
        <x:v>post.smzdm.com</x:v>
      </x:c>
      <x:c r="F79" s="5" t="str">
        <x:v>UGC/视频/公众号</x:v>
      </x:c>
      <x:c r="G79" s="5" t="str">
        <x:v>是</x:v>
      </x:c>
      <x:c r="H79" s="5" t="str">
        <x:v>怡可纳</x:v>
      </x:c>
      <x:c r="I79" s="5" t="str">
        <x:v>主动</x:v>
      </x:c>
      <x:c r="J79" s="5" t="str">
        <x:v>未核实</x:v>
      </x:c>
    </x:row>
    <x:row r="80" ht="27" customHeight="1">
      <x:c r="A80" s="5" t="str">
        <x:v>DeepSeek</x:v>
      </x:c>
      <x:c r="B80" s="5" t="str">
        <x:v>Q18</x:v>
      </x:c>
      <x:c r="C80" s="5" t="str">
        <x:v>抖音商城怡可纳店蛋白粉藏虫，请求还消费者公道！</x:v>
      </x:c>
      <x:c r="D80" s="5" t="str">
        <x:v>https://tousu.sina.cn/complaint/view/17385194967?sld=889b1e1f11972245cd9779bf10584cec&amp;&amp;&amp;vt=4</x:v>
      </x:c>
      <x:c r="E80" s="5" t="str">
        <x:v>tousu.sina.cn</x:v>
      </x:c>
      <x:c r="F80" s="5" t="str">
        <x:v>其他网页</x:v>
      </x:c>
      <x:c r="G80" s="5" t="str">
        <x:v>是</x:v>
      </x:c>
      <x:c r="H80" s="5" t="str">
        <x:v>怡可纳</x:v>
      </x:c>
      <x:c r="I80" s="5" t="str">
        <x:v>主动</x:v>
      </x:c>
      <x:c r="J80" s="5" t="str">
        <x:v>未核实</x:v>
      </x:c>
    </x:row>
    <x:row r="81" ht="27" customHeight="1">
      <x:c r="A81" s="5" t="str">
        <x:v>DeepSeek</x:v>
      </x:c>
      <x:c r="B81" s="5" t="str">
        <x:v>Q19</x:v>
      </x:c>
      <x:c r="C81" s="5" t="str">
        <x:v>买了桶便宜的怡可纳酵母蛋白粉</x:v>
      </x:c>
      <x:c r="D81" s="5" t="str">
        <x:v>https://post.smzdm.com/talk/p/a44m83ow/#comments</x:v>
      </x:c>
      <x:c r="E81" s="5" t="str">
        <x:v>post.smzdm.com</x:v>
      </x:c>
      <x:c r="F81" s="5" t="str">
        <x:v>UGC/视频/公众号</x:v>
      </x:c>
      <x:c r="G81" s="5" t="str">
        <x:v>是</x:v>
      </x:c>
      <x:c r="H81" s="5" t="str">
        <x:v>怡可纳</x:v>
      </x:c>
      <x:c r="I81" s="5" t="str">
        <x:v>主动</x:v>
      </x:c>
      <x:c r="J81" s="5" t="str">
        <x:v>未核实</x:v>
      </x:c>
    </x:row>
    <x:row r="82" ht="27" customHeight="1">
      <x:c r="A82" s="5" t="str">
        <x:v>DeepSeek</x:v>
      </x:c>
      <x:c r="B82" s="5" t="str">
        <x:v>Q19</x:v>
      </x:c>
      <x:c r="C82" s="5" t="str">
        <x:v>页面未提供标题（引用编号）</x:v>
      </x:c>
      <x:c r="D82" s="5" t="str">
        <x:v>https://zhuanlan.zhihu.com/p/2044740073569179012?utm_medium=openapi_platform&amp;utm_source=e10c3ad29e50#1</x:v>
      </x:c>
      <x:c r="E82" s="5" t="str">
        <x:v>zhuanlan.zhihu.com</x:v>
      </x:c>
      <x:c r="F82" s="5" t="str">
        <x:v>UGC/视频/公众号</x:v>
      </x:c>
      <x:c r="G82" s="5" t="str">
        <x:v>是</x:v>
      </x:c>
      <x:c r="H82" s="5" t="str">
        <x:v>怡可纳</x:v>
      </x:c>
      <x:c r="I82" s="5" t="str">
        <x:v>主动</x:v>
      </x:c>
      <x:c r="J82" s="5" t="str">
        <x:v>未核实</x:v>
      </x:c>
    </x:row>
    <x:row r="83" ht="27" customHeight="1">
      <x:c r="A83" s="5" t="str">
        <x:v>DeepSeek</x:v>
      </x:c>
      <x:c r="B83" s="5" t="str">
        <x:v>Q19</x:v>
      </x:c>
      <x:c r="C83" s="5" t="str">
        <x:v>这款蛋白粉也太好喝咯</x:v>
      </x:c>
      <x:c r="D83" s="5" t="str">
        <x:v>https://m.shihuo.cn/page/findCommunityDetail?id=5253459</x:v>
      </x:c>
      <x:c r="E83" s="5" t="str">
        <x:v>shihuo.cn</x:v>
      </x:c>
      <x:c r="F83" s="5" t="str">
        <x:v>UGC/视频/公众号</x:v>
      </x:c>
      <x:c r="G83" s="5" t="str">
        <x:v>是</x:v>
      </x:c>
      <x:c r="H83" s="5" t="str">
        <x:v>怡可纳</x:v>
      </x:c>
      <x:c r="I83" s="5" t="str">
        <x:v>主动</x:v>
      </x:c>
      <x:c r="J83" s="5" t="str">
        <x:v>未核实</x:v>
      </x:c>
    </x:row>
    <x:row r="84" ht="27" customHeight="1">
      <x:c r="A84" s="5" t="str">
        <x:v>DeepSeek</x:v>
      </x:c>
      <x:c r="B84" s="5" t="str">
        <x:v>Q20</x:v>
      </x:c>
      <x:c r="C84" s="5" t="str">
        <x:v>乳清蛋白涨疯了？酵母蛋白成平价新宠，实测对比谁更值_健体强身_什么值得买</x:v>
      </x:c>
      <x:c r="D84" s="5" t="str">
        <x:v>https://post.smzdm.com/p/a5rve8g3/#1#1</x:v>
      </x:c>
      <x:c r="E84" s="5" t="str">
        <x:v>post.smzdm.com</x:v>
      </x:c>
      <x:c r="F84" s="5" t="str">
        <x:v>UGC/视频/公众号</x:v>
      </x:c>
      <x:c r="G84" s="5" t="str">
        <x:v>是</x:v>
      </x:c>
      <x:c r="H84" s="5" t="str">
        <x:v>怡可纳、ON/欧普特蒙、肌肉科技</x:v>
      </x:c>
      <x:c r="I84" s="5" t="str">
        <x:v>主动</x:v>
      </x:c>
      <x:c r="J84" s="5" t="str">
        <x:v>未核实</x:v>
      </x:c>
    </x:row>
    <x:row r="85" ht="27" customHeight="1">
      <x:c r="A85" s="5" t="str">
        <x:v>DeepSeek</x:v>
      </x:c>
      <x:c r="B85" s="5" t="str">
        <x:v>Q20</x:v>
      </x:c>
      <x:c r="C85" s="5" t="str">
        <x:v>买了桶便宜的怡可纳酵母蛋白粉</x:v>
      </x:c>
      <x:c r="D85" s="5" t="str">
        <x:v>https://post.smzdm.com/talk/p/a44m83ow/#comments</x:v>
      </x:c>
      <x:c r="E85" s="5" t="str">
        <x:v>post.smzdm.com</x:v>
      </x:c>
      <x:c r="F85" s="5" t="str">
        <x:v>UGC/视频/公众号</x:v>
      </x:c>
      <x:c r="G85" s="5" t="str">
        <x:v>是</x:v>
      </x:c>
      <x:c r="H85" s="5" t="str">
        <x:v>怡可纳、ON/欧普特蒙、肌肉科技</x:v>
      </x:c>
      <x:c r="I85" s="5" t="str">
        <x:v>主动</x:v>
      </x:c>
      <x:c r="J85" s="5" t="str">
        <x:v>未核实</x:v>
      </x:c>
    </x:row>
    <x:row r="86" ht="27" customHeight="1">
      <x:c r="A86" s="5" t="str">
        <x:v>豆包</x:v>
      </x:c>
      <x:c r="B86" s="5" t="str">
        <x:v>Q1</x:v>
      </x:c>
      <x:c r="C86" s="5" t="str">
        <x:v>1. 酵母蛋白 Q/YPX 0007S—2023</x:v>
      </x:c>
      <x:c r="D86" s="5" t="str">
        <x:v>https://wsjkw.gxzf.gov.cn/spaqyyyzs_49672/spaqqybz/spaqqybzbaqgs/P020230614520618735637.pdf</x:v>
      </x:c>
      <x:c r="E86" s="5" t="str">
        <x:v>wsjkw.gxzf.gov.cn</x:v>
      </x:c>
      <x:c r="F86" s="5" t="str">
        <x:v>官方机构</x:v>
      </x:c>
      <x:c r="G86" s="5" t="str">
        <x:v>是</x:v>
      </x:c>
      <x:c r="H86" s="5" t="str">
        <x:v>怡可纳</x:v>
      </x:c>
      <x:c r="I86" s="5" t="str">
        <x:v>自然</x:v>
      </x:c>
      <x:c r="J86" s="5" t="str">
        <x:v>未核实</x:v>
      </x:c>
    </x:row>
    <x:row r="87" ht="27" customHeight="1">
      <x:c r="A87" s="5" t="str">
        <x:v>豆包</x:v>
      </x:c>
      <x:c r="B87" s="5" t="str">
        <x:v>Q1</x:v>
      </x:c>
      <x:c r="C87" s="5" t="str">
        <x:v>2. 酵母蛋白，补充蛋白质的新选择_澎湃号·湃客_澎湃新闻-The Paper</x:v>
      </x:c>
      <x:c r="D87" s="5" t="str">
        <x:v>https://www.thepaper.cn/newsDetail_forward_31841581</x:v>
      </x:c>
      <x:c r="E87" s="5" t="str">
        <x:v>thepaper.cn</x:v>
      </x:c>
      <x:c r="F87" s="5" t="str">
        <x:v>其他网页</x:v>
      </x:c>
      <x:c r="G87" s="5" t="str">
        <x:v>是</x:v>
      </x:c>
      <x:c r="H87" s="5" t="str">
        <x:v>怡可纳</x:v>
      </x:c>
      <x:c r="I87" s="5" t="str">
        <x:v>自然</x:v>
      </x:c>
      <x:c r="J87" s="5" t="str">
        <x:v>未核实</x:v>
      </x:c>
    </x:row>
    <x:row r="88" ht="27" customHeight="1">
      <x:c r="A88" s="5" t="str">
        <x:v>豆包</x:v>
      </x:c>
      <x:c r="B88" s="5" t="str">
        <x:v>Q1</x:v>
      </x:c>
      <x:c r="C88" s="5" t="str">
        <x:v>3. 第二届酵母蛋白国际研讨会释放重磅信号</x:v>
      </x:c>
      <x:c r="D88" s="5" t="str">
        <x:v>https://www.peopleapp.com/rmharticle/30052018615</x:v>
      </x:c>
      <x:c r="E88" s="5" t="str">
        <x:v>peopleapp.com</x:v>
      </x:c>
      <x:c r="F88" s="5" t="str">
        <x:v>其他网页</x:v>
      </x:c>
      <x:c r="G88" s="5" t="str">
        <x:v>是</x:v>
      </x:c>
      <x:c r="H88" s="5" t="str">
        <x:v>怡可纳</x:v>
      </x:c>
      <x:c r="I88" s="5" t="str">
        <x:v>自然</x:v>
      </x:c>
      <x:c r="J88" s="5" t="str">
        <x:v>未核实</x:v>
      </x:c>
    </x:row>
    <x:row r="89" ht="27" customHeight="1">
      <x:c r="A89" s="5" t="str">
        <x:v>豆包</x:v>
      </x:c>
      <x:c r="B89" s="5" t="str">
        <x:v>Q1</x:v>
      </x:c>
      <x:c r="C89" s="5" t="str">
        <x:v>4. 图文详情——科普中国资源服务</x:v>
      </x:c>
      <x:c r="D89" s="5" t="str">
        <x:v>https://cloud.kepuchina.cn/h5/detail?id=7435465223417085952</x:v>
      </x:c>
      <x:c r="E89" s="5" t="str">
        <x:v>cloud.kepuchina.cn</x:v>
      </x:c>
      <x:c r="F89" s="5" t="str">
        <x:v>其他网页</x:v>
      </x:c>
      <x:c r="G89" s="5" t="str">
        <x:v>是</x:v>
      </x:c>
      <x:c r="H89" s="5" t="str">
        <x:v>怡可纳</x:v>
      </x:c>
      <x:c r="I89" s="5" t="str">
        <x:v>自然</x:v>
      </x:c>
      <x:c r="J89" s="5" t="str">
        <x:v>未核实</x:v>
      </x:c>
    </x:row>
    <x:row r="90" ht="27" customHeight="1">
      <x:c r="A90" s="5" t="str">
        <x:v>豆包</x:v>
      </x:c>
      <x:c r="B90" s="5" t="str">
        <x:v>Q1</x:v>
      </x:c>
      <x:c r="C90" s="5" t="str">
        <x:v>5. 酵母蛋白</x:v>
      </x:c>
      <x:c r="D90" s="5" t="str">
        <x:v>https://yinqiyeast.com/productdel/id/25.html</x:v>
      </x:c>
      <x:c r="E90" s="5" t="str">
        <x:v>yinqiyeast.com</x:v>
      </x:c>
      <x:c r="F90" s="5" t="str">
        <x:v>其他网页</x:v>
      </x:c>
      <x:c r="G90" s="5" t="str">
        <x:v>是</x:v>
      </x:c>
      <x:c r="H90" s="5" t="str">
        <x:v>怡可纳</x:v>
      </x:c>
      <x:c r="I90" s="5" t="str">
        <x:v>自然</x:v>
      </x:c>
      <x:c r="J90" s="5" t="str">
        <x:v>未核实</x:v>
      </x:c>
    </x:row>
    <x:row r="91" ht="27" customHeight="1">
      <x:c r="A91" s="5" t="str">
        <x:v>豆包</x:v>
      </x:c>
      <x:c r="B91" s="5" t="str">
        <x:v>Q1</x:v>
      </x:c>
      <x:c r="C91" s="5" t="str">
        <x:v>6. 中国人缺蛋白，凭什么怪米饭?-36氪</x:v>
      </x:c>
      <x:c r="D91" s="5" t="str">
        <x:v>https://m.36kr.com/p/3568171709348739</x:v>
      </x:c>
      <x:c r="E91" s="5" t="str">
        <x:v>36kr.com</x:v>
      </x:c>
      <x:c r="F91" s="5" t="str">
        <x:v>其他网页</x:v>
      </x:c>
      <x:c r="G91" s="5" t="str">
        <x:v>是</x:v>
      </x:c>
      <x:c r="H91" s="5" t="str">
        <x:v>怡可纳</x:v>
      </x:c>
      <x:c r="I91" s="5" t="str">
        <x:v>自然</x:v>
      </x:c>
      <x:c r="J91" s="5" t="str">
        <x:v>未核实</x:v>
      </x:c>
    </x:row>
    <x:row r="92" ht="27" customHeight="1">
      <x:c r="A92" s="5" t="str">
        <x:v>豆包</x:v>
      </x:c>
      <x:c r="B92" s="5" t="str">
        <x:v>Q1</x:v>
      </x:c>
      <x:c r="C92" s="5" t="str">
        <x:v>7. 不同 酵母 和 酵母 蛋白 的 生产 与 应用 及 蛋白 合成 调控 规律 研究 进展</x:v>
      </x:c>
      <x:c r="D92" s="5" t="str">
        <x:v>https://www.sciopen.com/local/article_pdf/10.7506/spkx1002-6630-20250918-143.pdf</x:v>
      </x:c>
      <x:c r="E92" s="5" t="str">
        <x:v>sciopen.com</x:v>
      </x:c>
      <x:c r="F92" s="5" t="str">
        <x:v>其他网页</x:v>
      </x:c>
      <x:c r="G92" s="5" t="str">
        <x:v>是</x:v>
      </x:c>
      <x:c r="H92" s="5" t="str">
        <x:v>怡可纳</x:v>
      </x:c>
      <x:c r="I92" s="5" t="str">
        <x:v>自然</x:v>
      </x:c>
      <x:c r="J92" s="5" t="str">
        <x:v>未核实</x:v>
      </x:c>
    </x:row>
    <x:row r="93" ht="27" customHeight="1">
      <x:c r="A93" s="5" t="str">
        <x:v>豆包</x:v>
      </x:c>
      <x:c r="B93" s="5" t="str">
        <x:v>Q1</x:v>
      </x:c>
      <x:c r="C93" s="5" t="str">
        <x:v>8. 食品 科技</x:v>
      </x:c>
      <x:c r="D93" s="5" t="str">
        <x:v>https://sspj.cbpt.cnki.net/WKE/WebPublication/wkTextContent.aspx?contentID=852f8c0d-2e80-41ca-a934-cdbbf88b28a3</x:v>
      </x:c>
      <x:c r="E93" s="5" t="str">
        <x:v>sspj.cbpt.cnki.net</x:v>
      </x:c>
      <x:c r="F93" s="5" t="str">
        <x:v>其他网页</x:v>
      </x:c>
      <x:c r="G93" s="5" t="str">
        <x:v>是</x:v>
      </x:c>
      <x:c r="H93" s="5" t="str">
        <x:v>怡可纳</x:v>
      </x:c>
      <x:c r="I93" s="5" t="str">
        <x:v>自然</x:v>
      </x:c>
      <x:c r="J93" s="5" t="str">
        <x:v>未核实</x:v>
      </x:c>
    </x:row>
    <x:row r="94" ht="27" customHeight="1">
      <x:c r="A94" s="5" t="str">
        <x:v>豆包</x:v>
      </x:c>
      <x:c r="B94" s="5" t="str">
        <x:v>Q1</x:v>
      </x:c>
      <x:c r="C94" s="5" t="str">
        <x:v>9. Yeast Protein as an Easily Accessible Food Source - PMC</x:v>
      </x:c>
      <x:c r="D94" s="5" t="str">
        <x:v>https://pmc.ncbi.nlm.nih.gov/articles/PMC8780597/</x:v>
      </x:c>
      <x:c r="E94" s="5" t="str">
        <x:v>pmc.ncbi.nlm.nih.gov</x:v>
      </x:c>
      <x:c r="F94" s="5" t="str">
        <x:v>学术研究</x:v>
      </x:c>
      <x:c r="G94" s="5" t="str">
        <x:v>是</x:v>
      </x:c>
      <x:c r="H94" s="5" t="str">
        <x:v>怡可纳</x:v>
      </x:c>
      <x:c r="I94" s="5" t="str">
        <x:v>自然</x:v>
      </x:c>
      <x:c r="J94" s="5" t="str">
        <x:v>未核实</x:v>
      </x:c>
    </x:row>
    <x:row r="95" ht="27" customHeight="1">
      <x:c r="A95" s="5" t="str">
        <x:v>豆包</x:v>
      </x:c>
      <x:c r="B95" s="5" t="str">
        <x:v>Q1</x:v>
      </x:c>
      <x:c r="C95" s="5" t="str">
        <x:v>10. 安琪 纽特</x:v>
      </x:c>
      <x:c r="D95" s="5" t="str">
        <x:v>https://www.angelnutritech.com/zh/news/372.html</x:v>
      </x:c>
      <x:c r="E95" s="5" t="str">
        <x:v>angelnutritech.com</x:v>
      </x:c>
      <x:c r="F95" s="5" t="str">
        <x:v>其他网页</x:v>
      </x:c>
      <x:c r="G95" s="5" t="str">
        <x:v>是</x:v>
      </x:c>
      <x:c r="H95" s="5" t="str">
        <x:v>怡可纳</x:v>
      </x:c>
      <x:c r="I95" s="5" t="str">
        <x:v>自然</x:v>
      </x:c>
      <x:c r="J95" s="5" t="str">
        <x:v>未核实</x:v>
      </x:c>
    </x:row>
    <x:row r="96" ht="27" customHeight="1">
      <x:c r="A96" s="5" t="str">
        <x:v>豆包</x:v>
      </x:c>
      <x:c r="B96" s="5" t="str">
        <x:v>Q1</x:v>
      </x:c>
      <x:c r="C96" s="5" t="str">
        <x:v>11. Hydrolyzed Yeast Protein Infant Food Nutrition Fortified Small Molecule Easily Absorbable Food Grade - Food Stabilizers and Coagulators, Nutrient Substance | Made-in-China.com</x:v>
      </x:c>
      <x:c r="D96" s="5" t="str">
        <x:v>https://m.made-in-china.com/product/Hydrolyzed-Yeast-Protein-Infant-Food-Nutrition-Fortified-Small-Molecule-Easily-Absorbable-Food-Grade-1979522821.html</x:v>
      </x:c>
      <x:c r="E96" s="5" t="str">
        <x:v>made-in-china.com</x:v>
      </x:c>
      <x:c r="F96" s="5" t="str">
        <x:v>综合媒体/转载</x:v>
      </x:c>
      <x:c r="G96" s="5" t="str">
        <x:v>是</x:v>
      </x:c>
      <x:c r="H96" s="5" t="str">
        <x:v>怡可纳</x:v>
      </x:c>
      <x:c r="I96" s="5" t="str">
        <x:v>自然</x:v>
      </x:c>
      <x:c r="J96" s="5" t="str">
        <x:v>未核实</x:v>
      </x:c>
    </x:row>
    <x:row r="97" ht="27" customHeight="1">
      <x:c r="A97" s="5" t="str">
        <x:v>豆包</x:v>
      </x:c>
      <x:c r="B97" s="5" t="str">
        <x:v>Q1</x:v>
      </x:c>
      <x:c r="C97" s="5" t="str">
        <x:v>12. Yeast extract | Pars Tamara | Production of food industry additives</x:v>
      </x:c>
      <x:c r="D97" s="5" t="str">
        <x:v>https://www.parstamara.com/en/yeast-extract/</x:v>
      </x:c>
      <x:c r="E97" s="5" t="str">
        <x:v>parstamara.com</x:v>
      </x:c>
      <x:c r="F97" s="5" t="str">
        <x:v>其他网页</x:v>
      </x:c>
      <x:c r="G97" s="5" t="str">
        <x:v>是</x:v>
      </x:c>
      <x:c r="H97" s="5" t="str">
        <x:v>怡可纳</x:v>
      </x:c>
      <x:c r="I97" s="5" t="str">
        <x:v>自然</x:v>
      </x:c>
      <x:c r="J97" s="5" t="str">
        <x:v>未核实</x:v>
      </x:c>
    </x:row>
    <x:row r="98" ht="27" customHeight="1">
      <x:c r="A98" s="5" t="str">
        <x:v>豆包</x:v>
      </x:c>
      <x:c r="B98" s="5" t="str">
        <x:v>Q1</x:v>
      </x:c>
      <x:c r="C98" s="5" t="str">
        <x:v>13. Yeast Peptides Powder | Saccharomyces Cerevisiae Extract Protein Ingredient</x:v>
      </x:c>
      <x:c r="D98" s="5" t="str">
        <x:v>http://www.bulkbetaglucan.com/product/yeast-peptides.html</x:v>
      </x:c>
      <x:c r="E98" s="5" t="str">
        <x:v>bulkbetaglucan.com</x:v>
      </x:c>
      <x:c r="F98" s="5" t="str">
        <x:v>其他网页</x:v>
      </x:c>
      <x:c r="G98" s="5" t="str">
        <x:v>是</x:v>
      </x:c>
      <x:c r="H98" s="5" t="str">
        <x:v>怡可纳</x:v>
      </x:c>
      <x:c r="I98" s="5" t="str">
        <x:v>自然</x:v>
      </x:c>
      <x:c r="J98" s="5" t="str">
        <x:v>未核实</x:v>
      </x:c>
    </x:row>
    <x:row r="99" ht="27" customHeight="1">
      <x:c r="A99" s="5" t="str">
        <x:v>豆包</x:v>
      </x:c>
      <x:c r="B99" s="5" t="str">
        <x:v>Q1</x:v>
      </x:c>
      <x:c r="C99" s="5" t="str">
        <x:v>14. 酵母 水解物</x:v>
      </x:c>
      <x:c r="D99" s="5" t="str">
        <x:v>https://www.yinqiyeast.com/productdel/id/20.html</x:v>
      </x:c>
      <x:c r="E99" s="5" t="str">
        <x:v>yinqiyeast.com</x:v>
      </x:c>
      <x:c r="F99" s="5" t="str">
        <x:v>其他网页</x:v>
      </x:c>
      <x:c r="G99" s="5" t="str">
        <x:v>是</x:v>
      </x:c>
      <x:c r="H99" s="5" t="str">
        <x:v>怡可纳</x:v>
      </x:c>
      <x:c r="I99" s="5" t="str">
        <x:v>自然</x:v>
      </x:c>
      <x:c r="J99" s="5" t="str">
        <x:v>未核实</x:v>
      </x:c>
    </x:row>
    <x:row r="100" ht="27" customHeight="1">
      <x:c r="A100" s="5" t="str">
        <x:v>豆包</x:v>
      </x:c>
      <x:c r="B100" s="5" t="str">
        <x:v>Q1</x:v>
      </x:c>
      <x:c r="C100" s="5" t="str">
        <x:v>15. China Customized Hydrolyzed Yeast Protein Powder Manufacturers Suppliers - Low Price - Land Nutra</x:v>
      </x:c>
      <x:c r="D100" s="5" t="str">
        <x:v>https://www.landnutra-ingredients.com/cosmetic-ingredients/hydrolyzed-yeast-protein-powder.html</x:v>
      </x:c>
      <x:c r="E100" s="5" t="str">
        <x:v>landnutra-ingredients.com</x:v>
      </x:c>
      <x:c r="F100" s="5" t="str">
        <x:v>其他网页</x:v>
      </x:c>
      <x:c r="G100" s="5" t="str">
        <x:v>是</x:v>
      </x:c>
      <x:c r="H100" s="5" t="str">
        <x:v>怡可纳</x:v>
      </x:c>
      <x:c r="I100" s="5" t="str">
        <x:v>自然</x:v>
      </x:c>
      <x:c r="J100" s="5" t="str">
        <x:v>未核实</x:v>
      </x:c>
    </x:row>
    <x:row r="101" ht="27" customHeight="1">
      <x:c r="A101" s="5" t="str">
        <x:v>豆包</x:v>
      </x:c>
      <x:c r="B101" s="5" t="str">
        <x:v>Q1</x:v>
      </x:c>
      <x:c r="C101" s="5" t="str">
        <x:v>16. q / aqjm 2611 s - 2026 水解 酵母 蛋白 _ 食品 安全 企业 标准 _ 国内 标准 _ 食品 标准 _ 食品 伙伴 网 下载 中心</x:v>
      </x:c>
      <x:c r="D101" s="5" t="str">
        <x:v>http://down.foodmate.net/standard/sort/19/175914.html</x:v>
      </x:c>
      <x:c r="E101" s="5" t="str">
        <x:v>down.foodmate.net</x:v>
      </x:c>
      <x:c r="F101" s="5" t="str">
        <x:v>其他网页</x:v>
      </x:c>
      <x:c r="G101" s="5" t="str">
        <x:v>是</x:v>
      </x:c>
      <x:c r="H101" s="5" t="str">
        <x:v>怡可纳</x:v>
      </x:c>
      <x:c r="I101" s="5" t="str">
        <x:v>自然</x:v>
      </x:c>
      <x:c r="J101" s="5" t="str">
        <x:v>未核实</x:v>
      </x:c>
    </x:row>
    <x:row r="102" ht="27" customHeight="1">
      <x:c r="A102" s="5" t="str">
        <x:v>豆包</x:v>
      </x:c>
      <x:c r="B102" s="5" t="str">
        <x:v>Q2</x:v>
      </x:c>
      <x:c r="C102" s="5" t="str">
        <x:v>1. 酵母蛋白VS乳清蛋白，效果到底怎么样？ 健身新手小白想了解酵母蛋白粉，这一条就够了！#医生日常#医学科普#抖出健康知识宝藏#健身#蛋白粉@DOU+上热门 @抖音小助手 @DOU+小助手</x:v>
      </x:c>
      <x:c r="D102" s="5" t="str">
        <x:v>https://www.iesdouyin.com/share/video/7643756129259932934</x:v>
      </x:c>
      <x:c r="E102" s="5" t="str">
        <x:v>iesdouyin.com</x:v>
      </x:c>
      <x:c r="F102" s="5" t="str">
        <x:v>UGC/视频/公众号</x:v>
      </x:c>
      <x:c r="G102" s="5" t="str">
        <x:v>否</x:v>
      </x:c>
      <x:c r="H102" s="5" t="str"/>
      <x:c r="I102" s="5" t="str">
        <x:v>自然</x:v>
      </x:c>
      <x:c r="J102" s="5" t="str">
        <x:v>未核实</x:v>
      </x:c>
    </x:row>
    <x:row r="103" ht="27" customHeight="1">
      <x:c r="A103" s="5" t="str">
        <x:v>豆包</x:v>
      </x:c>
      <x:c r="B103" s="5" t="str">
        <x:v>Q2</x:v>
      </x:c>
      <x:c r="C103" s="5" t="str">
        <x:v>2. 189五磅的蛋白粉 #健身补剂 #蛋白粉 #怡可纳</x:v>
      </x:c>
      <x:c r="D103" s="5" t="str">
        <x:v>https://www.iesdouyin.com/share/video/7639184717480217897</x:v>
      </x:c>
      <x:c r="E103" s="5" t="str">
        <x:v>iesdouyin.com</x:v>
      </x:c>
      <x:c r="F103" s="5" t="str">
        <x:v>UGC/视频/公众号</x:v>
      </x:c>
      <x:c r="G103" s="5" t="str">
        <x:v>否</x:v>
      </x:c>
      <x:c r="H103" s="5" t="str"/>
      <x:c r="I103" s="5" t="str">
        <x:v>自然</x:v>
      </x:c>
      <x:c r="J103" s="5" t="str">
        <x:v>未核实</x:v>
      </x:c>
    </x:row>
    <x:row r="104" ht="27" customHeight="1">
      <x:c r="A104" s="5" t="str">
        <x:v>豆包</x:v>
      </x:c>
      <x:c r="B104" s="5" t="str">
        <x:v>Q2</x:v>
      </x:c>
      <x:c r="C104" s="5" t="str">
        <x:v>3. 食品饮料行业研究 买入（维持评级） 行业周报</x:v>
      </x:c>
      <x:c r="D104" s="5" t="str">
        <x:v>https://pdf.dfcfw.com/pdf/H3_AP202608171828039071_1.pdf</x:v>
      </x:c>
      <x:c r="E104" s="5" t="str">
        <x:v>pdf.dfcfw.com</x:v>
      </x:c>
      <x:c r="F104" s="5" t="str">
        <x:v>其他网页</x:v>
      </x:c>
      <x:c r="G104" s="5" t="str">
        <x:v>否</x:v>
      </x:c>
      <x:c r="H104" s="5" t="str"/>
      <x:c r="I104" s="5" t="str">
        <x:v>自然</x:v>
      </x:c>
      <x:c r="J104" s="5" t="str">
        <x:v>未核实</x:v>
      </x:c>
    </x:row>
    <x:row r="105" ht="27" customHeight="1">
      <x:c r="A105" s="5" t="str">
        <x:v>豆包</x:v>
      </x:c>
      <x:c r="B105" s="5" t="str">
        <x:v>Q2</x:v>
      </x:c>
      <x:c r="C105" s="5" t="str">
        <x:v>4. 乳清蛋白价格大幅上涨，市场需求格局生变，酵母蛋白迎来发展新机遇#酵母蛋白#建议普及酵母蛋白#多品牌蛋白粉每桶涨价近百元</x:v>
      </x:c>
      <x:c r="D105" s="5" t="str">
        <x:v>https://www.iesdouyin.com/share/video/7648959885412977955</x:v>
      </x:c>
      <x:c r="E105" s="5" t="str">
        <x:v>iesdouyin.com</x:v>
      </x:c>
      <x:c r="F105" s="5" t="str">
        <x:v>UGC/视频/公众号</x:v>
      </x:c>
      <x:c r="G105" s="5" t="str">
        <x:v>否</x:v>
      </x:c>
      <x:c r="H105" s="5" t="str"/>
      <x:c r="I105" s="5" t="str">
        <x:v>自然</x:v>
      </x:c>
      <x:c r="J105" s="5" t="str">
        <x:v>未核实</x:v>
      </x:c>
    </x:row>
    <x:row r="106" ht="27" customHeight="1">
      <x:c r="A106" s="5" t="str">
        <x:v>豆包</x:v>
      </x:c>
      <x:c r="B106" s="5" t="str">
        <x:v>Q2</x:v>
      </x:c>
      <x:c r="C106" s="5" t="str">
        <x:v>5. 酵母蛋白和乳清蛋白有啥区别，一次性讲清楚，让兄弟们不再纠结！#补剂六哥 #Allkeep #酵母蛋白 #乳清蛋白</x:v>
      </x:c>
      <x:c r="D106" s="5" t="str">
        <x:v>https://www.iesdouyin.com/share/video/7519072840889830714</x:v>
      </x:c>
      <x:c r="E106" s="5" t="str">
        <x:v>iesdouyin.com</x:v>
      </x:c>
      <x:c r="F106" s="5" t="str">
        <x:v>UGC/视频/公众号</x:v>
      </x:c>
      <x:c r="G106" s="5" t="str">
        <x:v>否</x:v>
      </x:c>
      <x:c r="H106" s="5" t="str"/>
      <x:c r="I106" s="5" t="str">
        <x:v>自然</x:v>
      </x:c>
      <x:c r="J106" s="5" t="str">
        <x:v>未核实</x:v>
      </x:c>
    </x:row>
    <x:row r="107" ht="27" customHeight="1">
      <x:c r="A107" s="5" t="str">
        <x:v>豆包</x:v>
      </x:c>
      <x:c r="B107" s="5" t="str">
        <x:v>Q2</x:v>
      </x:c>
      <x:c r="C107" s="5" t="str">
        <x:v>6. 国家认证的新蛋白:酵母蛋白</x:v>
      </x:c>
      <x:c r="D107" s="5" t="str">
        <x:v>https://m.thepaper.cn/newsDetail_forward_31387654</x:v>
      </x:c>
      <x:c r="E107" s="5" t="str">
        <x:v>thepaper.cn</x:v>
      </x:c>
      <x:c r="F107" s="5" t="str">
        <x:v>其他网页</x:v>
      </x:c>
      <x:c r="G107" s="5" t="str">
        <x:v>否</x:v>
      </x:c>
      <x:c r="H107" s="5" t="str"/>
      <x:c r="I107" s="5" t="str">
        <x:v>自然</x:v>
      </x:c>
      <x:c r="J107" s="5" t="str">
        <x:v>未核实</x:v>
      </x:c>
    </x:row>
    <x:row r="108" ht="27" customHeight="1">
      <x:c r="A108" s="5" t="str">
        <x:v>豆包</x:v>
      </x:c>
      <x:c r="B108" s="5" t="str">
        <x:v>Q2</x:v>
      </x:c>
      <x:c r="C108" s="5" t="str">
        <x:v>7. 为什么 说 酵母 蛋白 是 全能 的 营养 大师 # 酵母 蛋白 # 酵母 蛋白 优质 蛋白 新 选择 # 建议 普及 酵母 蛋白</x:v>
      </x:c>
      <x:c r="D108" s="5" t="str">
        <x:v>https://www.iesdouyin.com/share/video/7521788282561252648</x:v>
      </x:c>
      <x:c r="E108" s="5" t="str">
        <x:v>iesdouyin.com</x:v>
      </x:c>
      <x:c r="F108" s="5" t="str">
        <x:v>UGC/视频/公众号</x:v>
      </x:c>
      <x:c r="G108" s="5" t="str">
        <x:v>否</x:v>
      </x:c>
      <x:c r="H108" s="5" t="str"/>
      <x:c r="I108" s="5" t="str">
        <x:v>自然</x:v>
      </x:c>
      <x:c r="J108" s="5" t="str">
        <x:v>未核实</x:v>
      </x:c>
    </x:row>
    <x:row r="109" ht="27" customHeight="1">
      <x:c r="A109" s="5" t="str">
        <x:v>豆包</x:v>
      </x:c>
      <x:c r="B109" s="5" t="str">
        <x:v>Q2</x:v>
      </x:c>
      <x:c r="C109" s="5" t="str">
        <x:v>8. 酵母 蛋白 ， 一 探 究竟 ！ # 科普 一下 # 酵母 蛋白 优质 蛋白 新 选择 # 建议 普及 酵母 蛋白</x:v>
      </x:c>
      <x:c r="D109" s="5" t="str">
        <x:v>https://www.iesdouyin.com/share/video/7519790765069864228</x:v>
      </x:c>
      <x:c r="E109" s="5" t="str">
        <x:v>iesdouyin.com</x:v>
      </x:c>
      <x:c r="F109" s="5" t="str">
        <x:v>UGC/视频/公众号</x:v>
      </x:c>
      <x:c r="G109" s="5" t="str">
        <x:v>否</x:v>
      </x:c>
      <x:c r="H109" s="5" t="str"/>
      <x:c r="I109" s="5" t="str">
        <x:v>自然</x:v>
      </x:c>
      <x:c r="J109" s="5" t="str">
        <x:v>未核实</x:v>
      </x:c>
    </x:row>
    <x:row r="110" ht="27" customHeight="1">
      <x:c r="A110" s="5" t="str">
        <x:v>豆包</x:v>
      </x:c>
      <x:c r="B110" s="5" t="str">
        <x:v>Q2</x:v>
      </x:c>
      <x:c r="C110" s="5" t="str">
        <x:v>9. # 酵母 蛋白 # 建议 普及 酵母 蛋白</x:v>
      </x:c>
      <x:c r="D110" s="5" t="str">
        <x:v>https://www.iesdouyin.com/share/video/7636949128811007251</x:v>
      </x:c>
      <x:c r="E110" s="5" t="str">
        <x:v>iesdouyin.com</x:v>
      </x:c>
      <x:c r="F110" s="5" t="str">
        <x:v>UGC/视频/公众号</x:v>
      </x:c>
      <x:c r="G110" s="5" t="str">
        <x:v>否</x:v>
      </x:c>
      <x:c r="H110" s="5" t="str"/>
      <x:c r="I110" s="5" t="str">
        <x:v>自然</x:v>
      </x:c>
      <x:c r="J110" s="5" t="str">
        <x:v>未核实</x:v>
      </x:c>
    </x:row>
    <x:row r="111" ht="27" customHeight="1">
      <x:c r="A111" s="5" t="str">
        <x:v>豆包</x:v>
      </x:c>
      <x:c r="B111" s="5" t="str">
        <x:v>Q2</x:v>
      </x:c>
      <x:c r="C111" s="5" t="str">
        <x:v>10. 食品 科技</x:v>
      </x:c>
      <x:c r="D111" s="5" t="str">
        <x:v>https://sspj.cbpt.cnki.net/WKE/WebPublication/wkTextContent.aspx?contentID=852f8c0d-2e80-41ca-a934-cdbbf88b28a3</x:v>
      </x:c>
      <x:c r="E111" s="5" t="str">
        <x:v>sspj.cbpt.cnki.net</x:v>
      </x:c>
      <x:c r="F111" s="5" t="str">
        <x:v>其他网页</x:v>
      </x:c>
      <x:c r="G111" s="5" t="str">
        <x:v>否</x:v>
      </x:c>
      <x:c r="H111" s="5" t="str"/>
      <x:c r="I111" s="5" t="str">
        <x:v>自然</x:v>
      </x:c>
      <x:c r="J111" s="5" t="str">
        <x:v>未核实</x:v>
      </x:c>
    </x:row>
    <x:row r="112" ht="27" customHeight="1">
      <x:c r="A112" s="5" t="str">
        <x:v>豆包</x:v>
      </x:c>
      <x:c r="B112" s="5" t="str">
        <x:v>Q2</x:v>
      </x:c>
      <x:c r="C112" s="5" t="str">
        <x:v>11. 安琪 纽特</x:v>
      </x:c>
      <x:c r="D112" s="5" t="str">
        <x:v>https://www.angelnutritech.com/zh/news/476.html</x:v>
      </x:c>
      <x:c r="E112" s="5" t="str">
        <x:v>angelnutritech.com</x:v>
      </x:c>
      <x:c r="F112" s="5" t="str">
        <x:v>其他网页</x:v>
      </x:c>
      <x:c r="G112" s="5" t="str">
        <x:v>否</x:v>
      </x:c>
      <x:c r="H112" s="5" t="str"/>
      <x:c r="I112" s="5" t="str">
        <x:v>自然</x:v>
      </x:c>
      <x:c r="J112" s="5" t="str">
        <x:v>未核实</x:v>
      </x:c>
    </x:row>
    <x:row r="113" ht="27" customHeight="1">
      <x:c r="A113" s="5" t="str">
        <x:v>豆包</x:v>
      </x:c>
      <x:c r="B113" s="5" t="str">
        <x:v>Q2</x:v>
      </x:c>
      <x:c r="C113" s="5" t="str">
        <x:v>12. 一文 读懂 酵母 蛋白 | 7 大 核心 问答 : 非 转基因 、 低 嘌呤 、 pdca as = 1.0 ， 优质 完全 蛋白 全 解析 - 安琪 酵母 股份 有限 公司</x:v>
      </x:c>
      <x:c r="D113" s="5" t="str">
        <x:v>https://www.angelyeast.com/info/1755.html</x:v>
      </x:c>
      <x:c r="E113" s="5" t="str">
        <x:v>angelyeast.com</x:v>
      </x:c>
      <x:c r="F113" s="5" t="str">
        <x:v>企业官网</x:v>
      </x:c>
      <x:c r="G113" s="5" t="str">
        <x:v>否</x:v>
      </x:c>
      <x:c r="H113" s="5" t="str"/>
      <x:c r="I113" s="5" t="str">
        <x:v>自然</x:v>
      </x:c>
      <x:c r="J113" s="5" t="str">
        <x:v>2026-07-24（页面）</x:v>
      </x:c>
    </x:row>
    <x:row r="114" ht="27" customHeight="1">
      <x:c r="A114" s="5" t="str">
        <x:v>豆包</x:v>
      </x:c>
      <x:c r="B114" s="5" t="str">
        <x:v>Q2</x:v>
      </x:c>
      <x:c r="C114" s="5" t="str">
        <x:v>13. Whey Protein — Nutrition Reference</x:v>
      </x:c>
      <x:c r="D114" s="5" t="str">
        <x:v>https://nutritionreference.org/glossary/whey-protein/</x:v>
      </x:c>
      <x:c r="E114" s="5" t="str">
        <x:v>nutritionreference.org</x:v>
      </x:c>
      <x:c r="F114" s="5" t="str">
        <x:v>其他网页</x:v>
      </x:c>
      <x:c r="G114" s="5" t="str">
        <x:v>否</x:v>
      </x:c>
      <x:c r="H114" s="5" t="str"/>
      <x:c r="I114" s="5" t="str">
        <x:v>自然</x:v>
      </x:c>
      <x:c r="J114" s="5" t="str">
        <x:v>未核实</x:v>
      </x:c>
    </x:row>
    <x:row r="115" ht="27" customHeight="1">
      <x:c r="A115" s="5" t="str">
        <x:v>豆包</x:v>
      </x:c>
      <x:c r="B115" s="5" t="str">
        <x:v>Q2</x:v>
      </x:c>
      <x:c r="C115" s="5" t="str">
        <x:v>14. Beta-Lactoglobulin In Whey Protein | Allergy Facts</x:v>
      </x:c>
      <x:c r="D115" s="5" t="str">
        <x:v>https://proteinjug.com/beta-lactoglobulin-in-whey-protein/</x:v>
      </x:c>
      <x:c r="E115" s="5" t="str">
        <x:v>proteinjug.com</x:v>
      </x:c>
      <x:c r="F115" s="5" t="str">
        <x:v>其他网页</x:v>
      </x:c>
      <x:c r="G115" s="5" t="str">
        <x:v>否</x:v>
      </x:c>
      <x:c r="H115" s="5" t="str"/>
      <x:c r="I115" s="5" t="str">
        <x:v>自然</x:v>
      </x:c>
      <x:c r="J115" s="5" t="str">
        <x:v>未核实</x:v>
      </x:c>
    </x:row>
    <x:row r="116" ht="27" customHeight="1">
      <x:c r="A116" s="5" t="str">
        <x:v>豆包</x:v>
      </x:c>
      <x:c r="B116" s="5" t="str">
        <x:v>Q2</x:v>
      </x:c>
      <x:c r="C116" s="5" t="str">
        <x:v>15. Whey Concentrate — Benefits, Dosage &amp; Research | NutraSmarts</x:v>
      </x:c>
      <x:c r="D116" s="5" t="str">
        <x:v>https://www.nutrasmarts.com/ingredients/whey-concentrate</x:v>
      </x:c>
      <x:c r="E116" s="5" t="str">
        <x:v>nutrasmarts.com</x:v>
      </x:c>
      <x:c r="F116" s="5" t="str">
        <x:v>行业报告</x:v>
      </x:c>
      <x:c r="G116" s="5" t="str">
        <x:v>否</x:v>
      </x:c>
      <x:c r="H116" s="5" t="str"/>
      <x:c r="I116" s="5" t="str">
        <x:v>自然</x:v>
      </x:c>
      <x:c r="J116" s="5" t="str">
        <x:v>未核实</x:v>
      </x:c>
    </x:row>
    <x:row r="117" ht="27" customHeight="1">
      <x:c r="A117" s="5" t="str">
        <x:v>豆包</x:v>
      </x:c>
      <x:c r="B117" s="5" t="str">
        <x:v>Q2</x:v>
      </x:c>
      <x:c r="C117" s="5" t="str">
        <x:v>16. New Image International</x:v>
      </x:c>
      <x:c r="D117" s="5" t="str">
        <x:v>https://newimage.world/thehub/blog/whey-vs-plant-protein-which-one-should-you-choose</x:v>
      </x:c>
      <x:c r="E117" s="5" t="str">
        <x:v>newimage.world</x:v>
      </x:c>
      <x:c r="F117" s="5" t="str">
        <x:v>其他网页</x:v>
      </x:c>
      <x:c r="G117" s="5" t="str">
        <x:v>否</x:v>
      </x:c>
      <x:c r="H117" s="5" t="str"/>
      <x:c r="I117" s="5" t="str">
        <x:v>自然</x:v>
      </x:c>
      <x:c r="J117" s="5" t="str">
        <x:v>未核实</x:v>
      </x:c>
    </x:row>
    <x:row r="118" ht="27" customHeight="1">
      <x:c r="A118" s="5" t="str">
        <x:v>豆包</x:v>
      </x:c>
      <x:c r="B118" s="5" t="str">
        <x:v>Q2</x:v>
      </x:c>
      <x:c r="C118" s="5" t="str">
        <x:v>17. 全 乳清 配方 奶粉 是 什么 ? 过敏 宝宝 转奶 怎么 选 - 手机 复禾 健康</x:v>
      </x:c>
      <x:c r="D118" s="5" t="str">
        <x:v>https://m.fh21.com.cn/news/view/8882224.html</x:v>
      </x:c>
      <x:c r="E118" s="5" t="str">
        <x:v>fh21.com.cn</x:v>
      </x:c>
      <x:c r="F118" s="5" t="str">
        <x:v>其他网页</x:v>
      </x:c>
      <x:c r="G118" s="5" t="str">
        <x:v>否</x:v>
      </x:c>
      <x:c r="H118" s="5" t="str"/>
      <x:c r="I118" s="5" t="str">
        <x:v>自然</x:v>
      </x:c>
      <x:c r="J118" s="5" t="str">
        <x:v>未核实</x:v>
      </x:c>
    </x:row>
    <x:row r="119" ht="27" customHeight="1">
      <x:c r="A119" s="5" t="str">
        <x:v>豆包</x:v>
      </x:c>
      <x:c r="B119" s="5" t="str">
        <x:v>Q2</x:v>
      </x:c>
      <x:c r="C119" s="5" t="str">
        <x:v>18. 免疫营养素临床应用专家共识</x:v>
      </x:c>
      <x:c r="D119" s="5" t="str">
        <x:v>https://guide.medlive.cn/guideline/30517#imported-data</x:v>
      </x:c>
      <x:c r="E119" s="5" t="str">
        <x:v>guide.medlive.cn</x:v>
      </x:c>
      <x:c r="F119" s="5" t="str">
        <x:v>其他网页</x:v>
      </x:c>
      <x:c r="G119" s="5" t="str">
        <x:v>否</x:v>
      </x:c>
      <x:c r="H119" s="5" t="str"/>
      <x:c r="I119" s="5" t="str">
        <x:v>自然</x:v>
      </x:c>
      <x:c r="J119" s="5" t="str">
        <x:v>未核实</x:v>
      </x:c>
    </x:row>
    <x:row r="120" ht="27" customHeight="1">
      <x:c r="A120" s="5" t="str">
        <x:v>豆包</x:v>
      </x:c>
      <x:c r="B120" s="5" t="str">
        <x:v>Q2</x:v>
      </x:c>
      <x:c r="C120" s="5" t="str">
        <x:v>19. 特殊医学用途配方食品临床应用指南</x:v>
      </x:c>
      <x:c r="D120" s="5" t="str">
        <x:v>https://m.zhangqiaokeyan.com/book-cn/081501336419.html#imported-data</x:v>
      </x:c>
      <x:c r="E120" s="5" t="str">
        <x:v>zhangqiaokeyan.com</x:v>
      </x:c>
      <x:c r="F120" s="5" t="str">
        <x:v>其他网页</x:v>
      </x:c>
      <x:c r="G120" s="5" t="str">
        <x:v>否</x:v>
      </x:c>
      <x:c r="H120" s="5" t="str"/>
      <x:c r="I120" s="5" t="str">
        <x:v>自然</x:v>
      </x:c>
      <x:c r="J120" s="5" t="str">
        <x:v>未核实</x:v>
      </x:c>
    </x:row>
    <x:row r="121" ht="27" customHeight="1">
      <x:c r="A121" s="5" t="str">
        <x:v>豆包</x:v>
      </x:c>
      <x:c r="B121" s="5" t="str">
        <x:v>Q2</x:v>
      </x:c>
      <x:c r="C121" s="5" t="str">
        <x:v>20. 肿瘤相关性肌肉减少症临床诊断与治疗指南</x:v>
      </x:c>
      <x:c r="D121" s="5" t="str">
        <x:v>http://182.92.200.144/CN/article/downloadArticleFile.do?attachType=PDF&amp;id=840#imported-data</x:v>
      </x:c>
      <x:c r="E121" s="5" t="str">
        <x:v>182.92.200.144</x:v>
      </x:c>
      <x:c r="F121" s="5" t="str">
        <x:v>其他网页</x:v>
      </x:c>
      <x:c r="G121" s="5" t="str">
        <x:v>否</x:v>
      </x:c>
      <x:c r="H121" s="5" t="str"/>
      <x:c r="I121" s="5" t="str">
        <x:v>自然</x:v>
      </x:c>
      <x:c r="J121" s="5" t="str">
        <x:v>未核实</x:v>
      </x:c>
    </x:row>
    <x:row r="122" ht="27" customHeight="1">
      <x:c r="A122" s="5" t="str">
        <x:v>豆包</x:v>
      </x:c>
      <x:c r="B122" s="5" t="str">
        <x:v>Q3</x:v>
      </x:c>
      <x:c r="C122" s="5" t="str">
        <x:v>1. “酵母蛋白”究竟能不能打？ “酵母蛋白”消化？吸收？利用？嘌呤？</x:v>
      </x:c>
      <x:c r="D122" s="5" t="str">
        <x:v>https://www.iesdouyin.com/share/video/7599069834572076243</x:v>
      </x:c>
      <x:c r="E122" s="5" t="str">
        <x:v>iesdouyin.com</x:v>
      </x:c>
      <x:c r="F122" s="5" t="str">
        <x:v>UGC/视频/公众号</x:v>
      </x:c>
      <x:c r="G122" s="5" t="str">
        <x:v>否</x:v>
      </x:c>
      <x:c r="H122" s="5" t="str"/>
      <x:c r="I122" s="5" t="str">
        <x:v>自然</x:v>
      </x:c>
      <x:c r="J122" s="5" t="str">
        <x:v>未核实</x:v>
      </x:c>
    </x:row>
    <x:row r="123" ht="27" customHeight="1">
      <x:c r="A123" s="5" t="str">
        <x:v>豆包</x:v>
      </x:c>
      <x:c r="B123" s="5" t="str">
        <x:v>Q3</x:v>
      </x:c>
      <x:c r="C123" s="5" t="str">
        <x:v>2. 酵母蛋白VS乳清蛋白，效果到底怎么样？ 健身新手小白想了解酵母蛋白粉，这一条就够了！#医生日常#医学科普#抖出健康知识宝藏#健身#蛋白粉@DOU+上热门 @抖音小助手 @DOU+小助手</x:v>
      </x:c>
      <x:c r="D123" s="5" t="str">
        <x:v>https://www.iesdouyin.com/share/video/7643756129259932934</x:v>
      </x:c>
      <x:c r="E123" s="5" t="str">
        <x:v>iesdouyin.com</x:v>
      </x:c>
      <x:c r="F123" s="5" t="str">
        <x:v>UGC/视频/公众号</x:v>
      </x:c>
      <x:c r="G123" s="5" t="str">
        <x:v>否</x:v>
      </x:c>
      <x:c r="H123" s="5" t="str"/>
      <x:c r="I123" s="5" t="str">
        <x:v>自然</x:v>
      </x:c>
      <x:c r="J123" s="5" t="str">
        <x:v>未核实</x:v>
      </x:c>
    </x:row>
    <x:row r="124" ht="27" customHeight="1">
      <x:c r="A124" s="5" t="str">
        <x:v>豆包</x:v>
      </x:c>
      <x:c r="B124" s="5" t="str">
        <x:v>Q3</x:v>
      </x:c>
      <x:c r="C124" s="5" t="str">
        <x:v>3. 酵母蛋白“低嘌呤+高吸收”，深度解析底层逻辑！ 酵母蛋白到底好在哪里，深度带你解析！#医学科普#抖出健康知识宝藏#健身#酵母蛋白 #建议普及酵母蛋白 @DOU+上热门 @抖音小助手 @DOU+小助手</x:v>
      </x:c>
      <x:c r="D124" s="5" t="str">
        <x:v>https://www.iesdouyin.com/share/video/7654886389477133583</x:v>
      </x:c>
      <x:c r="E124" s="5" t="str">
        <x:v>iesdouyin.com</x:v>
      </x:c>
      <x:c r="F124" s="5" t="str">
        <x:v>UGC/视频/公众号</x:v>
      </x:c>
      <x:c r="G124" s="5" t="str">
        <x:v>否</x:v>
      </x:c>
      <x:c r="H124" s="5" t="str"/>
      <x:c r="I124" s="5" t="str">
        <x:v>自然</x:v>
      </x:c>
      <x:c r="J124" s="5" t="str">
        <x:v>未核实</x:v>
      </x:c>
    </x:row>
    <x:row r="125" ht="27" customHeight="1">
      <x:c r="A125" s="5" t="str">
        <x:v>豆包</x:v>
      </x:c>
      <x:c r="B125" s="5" t="str">
        <x:v>Q3</x:v>
      </x:c>
      <x:c r="C125" s="5" t="str">
        <x:v>4. 入手酵母蛋白前，必须弄清它的优缺点！#健身补剂 #健身 #健身小白必看经验 #蛋白粉 #酵母蛋白</x:v>
      </x:c>
      <x:c r="D125" s="5" t="str">
        <x:v>https://www.iesdouyin.com/share/video/7631057593642135673</x:v>
      </x:c>
      <x:c r="E125" s="5" t="str">
        <x:v>iesdouyin.com</x:v>
      </x:c>
      <x:c r="F125" s="5" t="str">
        <x:v>UGC/视频/公众号</x:v>
      </x:c>
      <x:c r="G125" s="5" t="str">
        <x:v>否</x:v>
      </x:c>
      <x:c r="H125" s="5" t="str"/>
      <x:c r="I125" s="5" t="str">
        <x:v>自然</x:v>
      </x:c>
      <x:c r="J125" s="5" t="str">
        <x:v>未核实</x:v>
      </x:c>
    </x:row>
    <x:row r="126" ht="27" customHeight="1">
      <x:c r="A126" s="5" t="str">
        <x:v>豆包</x:v>
      </x:c>
      <x:c r="B126" s="5" t="str">
        <x:v>Q3</x:v>
      </x:c>
      <x:c r="C126" s="5" t="str">
        <x:v>5. 酵母蛋白，能替代你的乳清吗？ 这期视频从酵母蛋白怎么生产讲起，对比它与乳清的氨基酸组成、消化表现，以及大家关心的尿酸问题，再看看国内的原料厂家和成品品牌。 #酵母蛋白粉 #乳清蛋白 #蛋白粉</x:v>
      </x:c>
      <x:c r="D126" s="5" t="str">
        <x:v>https://www.iesdouyin.com/share/video/7685689586407804200</x:v>
      </x:c>
      <x:c r="E126" s="5" t="str">
        <x:v>iesdouyin.com</x:v>
      </x:c>
      <x:c r="F126" s="5" t="str">
        <x:v>UGC/视频/公众号</x:v>
      </x:c>
      <x:c r="G126" s="5" t="str">
        <x:v>否</x:v>
      </x:c>
      <x:c r="H126" s="5" t="str"/>
      <x:c r="I126" s="5" t="str">
        <x:v>自然</x:v>
      </x:c>
      <x:c r="J126" s="5" t="str">
        <x:v>未核实</x:v>
      </x:c>
    </x:row>
    <x:row r="127" ht="27" customHeight="1">
      <x:c r="A127" s="5" t="str">
        <x:v>豆包</x:v>
      </x:c>
      <x:c r="B127" s="5" t="str">
        <x:v>Q3</x:v>
      </x:c>
      <x:c r="C127" s="5" t="str">
        <x:v>6. 安琪纽特</x:v>
      </x:c>
      <x:c r="D127" s="5" t="str">
        <x:v>https://www.angelnutritech.com/zh/news/317.html</x:v>
      </x:c>
      <x:c r="E127" s="5" t="str">
        <x:v>angelnutritech.com</x:v>
      </x:c>
      <x:c r="F127" s="5" t="str">
        <x:v>其他网页</x:v>
      </x:c>
      <x:c r="G127" s="5" t="str">
        <x:v>否</x:v>
      </x:c>
      <x:c r="H127" s="5" t="str"/>
      <x:c r="I127" s="5" t="str">
        <x:v>自然</x:v>
      </x:c>
      <x:c r="J127" s="5" t="str">
        <x:v>未核实</x:v>
      </x:c>
    </x:row>
    <x:row r="128" ht="27" customHeight="1">
      <x:c r="A128" s="5" t="str">
        <x:v>豆包</x:v>
      </x:c>
      <x:c r="B128" s="5" t="str">
        <x:v>Q3</x:v>
      </x:c>
      <x:c r="C128" s="5" t="str">
        <x:v>7. Yeast Protein – Is It Safe?</x:v>
      </x:c>
      <x:c r="D128" s="5" t="str">
        <x:v>https://asitisnutrition.com/blogs/health/yeast-protein-is-it-safe</x:v>
      </x:c>
      <x:c r="E128" s="5" t="str">
        <x:v>asitisnutrition.com</x:v>
      </x:c>
      <x:c r="F128" s="5" t="str">
        <x:v>其他网页</x:v>
      </x:c>
      <x:c r="G128" s="5" t="str">
        <x:v>否</x:v>
      </x:c>
      <x:c r="H128" s="5" t="str"/>
      <x:c r="I128" s="5" t="str">
        <x:v>自然</x:v>
      </x:c>
      <x:c r="J128" s="5" t="str">
        <x:v>未核实</x:v>
      </x:c>
    </x:row>
    <x:row r="129" ht="27" customHeight="1">
      <x:c r="A129" s="5" t="str">
        <x:v>豆包</x:v>
      </x:c>
      <x:c r="B129" s="5" t="str">
        <x:v>Q3</x:v>
      </x:c>
      <x:c r="C129" s="5" t="str">
        <x:v>8. How to Choose the Right Protein for You?</x:v>
      </x:c>
      <x:c r="D129" s="5" t="str">
        <x:v>https://en.angelyeast.com/blog/yeast-protein/how-to-choose-the-right-protein-for-you.html</x:v>
      </x:c>
      <x:c r="E129" s="5" t="str">
        <x:v>en.angelyeast.com</x:v>
      </x:c>
      <x:c r="F129" s="5" t="str">
        <x:v>企业官网</x:v>
      </x:c>
      <x:c r="G129" s="5" t="str">
        <x:v>否</x:v>
      </x:c>
      <x:c r="H129" s="5" t="str"/>
      <x:c r="I129" s="5" t="str">
        <x:v>自然</x:v>
      </x:c>
      <x:c r="J129" s="5" t="str">
        <x:v>未核实</x:v>
      </x:c>
    </x:row>
    <x:row r="130" ht="27" customHeight="1">
      <x:c r="A130" s="5" t="str">
        <x:v>豆包</x:v>
      </x:c>
      <x:c r="B130" s="5" t="str">
        <x:v>Q3</x:v>
      </x:c>
      <x:c r="C130" s="5" t="str">
        <x:v>9. Yeast Protein</x:v>
      </x:c>
      <x:c r="D130" s="5" t="str">
        <x:v>https://nutrabay.com/product-category/yeast-protein/</x:v>
      </x:c>
      <x:c r="E130" s="5" t="str">
        <x:v>nutrabay.com</x:v>
      </x:c>
      <x:c r="F130" s="5" t="str">
        <x:v>其他网页</x:v>
      </x:c>
      <x:c r="G130" s="5" t="str">
        <x:v>否</x:v>
      </x:c>
      <x:c r="H130" s="5" t="str"/>
      <x:c r="I130" s="5" t="str">
        <x:v>自然</x:v>
      </x:c>
      <x:c r="J130" s="5" t="str">
        <x:v>未核实</x:v>
      </x:c>
    </x:row>
    <x:row r="131" ht="27" customHeight="1">
      <x:c r="A131" s="5" t="str">
        <x:v>豆包</x:v>
      </x:c>
      <x:c r="B131" s="5" t="str">
        <x:v>Q3</x:v>
      </x:c>
      <x:c r="C131" s="5" t="str">
        <x:v>10. 如果你在减脂期 受够鸡胸 鸡蛋 牛奶了,或者没有时间给自己做干净饮食,还有就是已经知道蛋白质对于减脂期的重要性,那真的可以选择一款蛋白粉 尤其大基数,每天蛋白质吃够热量也要超标了,这也是为什么越来越多人会配合蛋白粉，因为蛋白粉蛋白质高,脂肪热量会低很多！#减肥的营养知识科普 #减肥蛋白质的重要性 #减脂期刚需 #健康饮食干货分享 #减脂期蛋白粉怎么选</x:v>
      </x:c>
      <x:c r="D131" s="5" t="str">
        <x:v>https://www.iesdouyin.com/share/video/7687847036238778088</x:v>
      </x:c>
      <x:c r="E131" s="5" t="str">
        <x:v>iesdouyin.com</x:v>
      </x:c>
      <x:c r="F131" s="5" t="str">
        <x:v>UGC/视频/公众号</x:v>
      </x:c>
      <x:c r="G131" s="5" t="str">
        <x:v>否</x:v>
      </x:c>
      <x:c r="H131" s="5" t="str"/>
      <x:c r="I131" s="5" t="str">
        <x:v>自然</x:v>
      </x:c>
      <x:c r="J131" s="5" t="str">
        <x:v>未核实</x:v>
      </x:c>
    </x:row>
    <x:row r="132" ht="27" customHeight="1">
      <x:c r="A132" s="5" t="str">
        <x:v>豆包</x:v>
      </x:c>
      <x:c r="B132" s="5" t="str">
        <x:v>Q3</x:v>
      </x:c>
      <x:c r="C132" s="5" t="str">
        <x:v>11. 无广分析：酵母蛋白粉和乳清蛋白粉之间的区别以及各自优势，究竟是营销噱头？还是真香警告！#健身干货 #健身知识分享 #健身大白话 #健身补剂 #蛋白粉</x:v>
      </x:c>
      <x:c r="D132" s="5" t="str">
        <x:v>https://www.iesdouyin.com/share/video/7654457120809539697</x:v>
      </x:c>
      <x:c r="E132" s="5" t="str">
        <x:v>iesdouyin.com</x:v>
      </x:c>
      <x:c r="F132" s="5" t="str">
        <x:v>UGC/视频/公众号</x:v>
      </x:c>
      <x:c r="G132" s="5" t="str">
        <x:v>否</x:v>
      </x:c>
      <x:c r="H132" s="5" t="str"/>
      <x:c r="I132" s="5" t="str">
        <x:v>自然</x:v>
      </x:c>
      <x:c r="J132" s="5" t="str">
        <x:v>未核实</x:v>
      </x:c>
    </x:row>
    <x:row r="133" ht="27" customHeight="1">
      <x:c r="A133" s="5" t="str">
        <x:v>豆包</x:v>
      </x:c>
      <x:c r="B133" s="5" t="str">
        <x:v>Q3</x:v>
      </x:c>
      <x:c r="C133" s="5" t="str">
        <x:v>12. 不同 酵母 和 酵母 蛋白 的 生产 与 应用 及 蛋白 合成 调控 规律 研究 进展</x:v>
      </x:c>
      <x:c r="D133" s="5" t="str">
        <x:v>https://www.sciopen.com/local/article_pdf/10.7506/spkx1002-6630-20250918-143.pdf</x:v>
      </x:c>
      <x:c r="E133" s="5" t="str">
        <x:v>sciopen.com</x:v>
      </x:c>
      <x:c r="F133" s="5" t="str">
        <x:v>其他网页</x:v>
      </x:c>
      <x:c r="G133" s="5" t="str">
        <x:v>否</x:v>
      </x:c>
      <x:c r="H133" s="5" t="str"/>
      <x:c r="I133" s="5" t="str">
        <x:v>自然</x:v>
      </x:c>
      <x:c r="J133" s="5" t="str">
        <x:v>未核实</x:v>
      </x:c>
    </x:row>
    <x:row r="134" ht="27" customHeight="1">
      <x:c r="A134" s="5" t="str">
        <x:v>豆包</x:v>
      </x:c>
      <x:c r="B134" s="5" t="str">
        <x:v>Q3</x:v>
      </x:c>
      <x:c r="C134" s="5" t="str">
        <x:v>13. 酵母 蛋白 ， 补充 蛋白质 的 新 选择 _ 澎湃 号 · 湃客 _ 澎湃 新闻 - the paper</x:v>
      </x:c>
      <x:c r="D134" s="5" t="str">
        <x:v>https://www.thepaper.cn/newsDetail_forward_31841581</x:v>
      </x:c>
      <x:c r="E134" s="5" t="str">
        <x:v>thepaper.cn</x:v>
      </x:c>
      <x:c r="F134" s="5" t="str">
        <x:v>其他网页</x:v>
      </x:c>
      <x:c r="G134" s="5" t="str">
        <x:v>否</x:v>
      </x:c>
      <x:c r="H134" s="5" t="str"/>
      <x:c r="I134" s="5" t="str">
        <x:v>自然</x:v>
      </x:c>
      <x:c r="J134" s="5" t="str">
        <x:v>未核实</x:v>
      </x:c>
    </x:row>
    <x:row r="135" ht="27" customHeight="1">
      <x:c r="A135" s="5" t="str">
        <x:v>豆包</x:v>
      </x:c>
      <x:c r="B135" s="5" t="str">
        <x:v>Q3</x:v>
      </x:c>
      <x:c r="C135" s="5" t="str">
        <x:v>14. 第二 届 酵母 蛋白 国际 研讨会 释放 重磅 信号</x:v>
      </x:c>
      <x:c r="D135" s="5" t="str">
        <x:v>https://www.peopleapp.com/rmharticle/30052018615</x:v>
      </x:c>
      <x:c r="E135" s="5" t="str">
        <x:v>peopleapp.com</x:v>
      </x:c>
      <x:c r="F135" s="5" t="str">
        <x:v>其他网页</x:v>
      </x:c>
      <x:c r="G135" s="5" t="str">
        <x:v>否</x:v>
      </x:c>
      <x:c r="H135" s="5" t="str"/>
      <x:c r="I135" s="5" t="str">
        <x:v>自然</x:v>
      </x:c>
      <x:c r="J135" s="5" t="str">
        <x:v>未核实</x:v>
      </x:c>
    </x:row>
    <x:row r="136" ht="27" customHeight="1">
      <x:c r="A136" s="5" t="str">
        <x:v>豆包</x:v>
      </x:c>
      <x:c r="B136" s="5" t="str">
        <x:v>Q3</x:v>
      </x:c>
      <x:c r="C136" s="5" t="str">
        <x:v>15. 饱腹感 强 、 营养 全面 ， 安琪 酵母 蛋白 — — 适合 于 烘焙 产品 的 优质 蛋白 - 安琪 酵母 股份 有限 公司</x:v>
      </x:c>
      <x:c r="D136" s="5" t="str">
        <x:v>https://www.angelyeast.com/info/671.html</x:v>
      </x:c>
      <x:c r="E136" s="5" t="str">
        <x:v>angelyeast.com</x:v>
      </x:c>
      <x:c r="F136" s="5" t="str">
        <x:v>企业官网</x:v>
      </x:c>
      <x:c r="G136" s="5" t="str">
        <x:v>否</x:v>
      </x:c>
      <x:c r="H136" s="5" t="str"/>
      <x:c r="I136" s="5" t="str">
        <x:v>自然</x:v>
      </x:c>
      <x:c r="J136" s="5" t="str">
        <x:v>未核实</x:v>
      </x:c>
    </x:row>
    <x:row r="137" ht="27" customHeight="1">
      <x:c r="A137" s="5" t="str">
        <x:v>豆包</x:v>
      </x:c>
      <x:c r="B137" s="5" t="str">
        <x:v>Q3</x:v>
      </x:c>
      <x:c r="C137" s="5" t="str">
        <x:v>16. 食品 科技</x:v>
      </x:c>
      <x:c r="D137" s="5" t="str">
        <x:v>https://sspj.cbpt.cnki.net/WKE/WebPublication/wkTextContent.aspx?contentID=852f8c0d-2e80-41ca-a934-cdbbf88b28a3</x:v>
      </x:c>
      <x:c r="E137" s="5" t="str">
        <x:v>sspj.cbpt.cnki.net</x:v>
      </x:c>
      <x:c r="F137" s="5" t="str">
        <x:v>其他网页</x:v>
      </x:c>
      <x:c r="G137" s="5" t="str">
        <x:v>否</x:v>
      </x:c>
      <x:c r="H137" s="5" t="str"/>
      <x:c r="I137" s="5" t="str">
        <x:v>自然</x:v>
      </x:c>
      <x:c r="J137" s="5" t="str">
        <x:v>未核实</x:v>
      </x:c>
    </x:row>
    <x:row r="138" ht="27" customHeight="1">
      <x:c r="A138" s="5" t="str">
        <x:v>豆包</x:v>
      </x:c>
      <x:c r="B138" s="5" t="str">
        <x:v>Q4</x:v>
      </x:c>
      <x:c r="C138" s="5" t="str">
        <x:v>1. 锐评酵母蛋白粉（1） R2:酵母蛋白粉出来时间久了，可以说是百花齐放，每家都对于酵母蛋白有一些自己的理解，但是大家都是摸着怡可纳过河，然后竟然有很多做的比怡可纳还有特色。但是，酵母蛋白，还是要从试用装</x:v>
      </x:c>
      <x:c r="D138" s="5" t="str">
        <x:v>https://www.iesdouyin.com/share/video/7687082340167165093</x:v>
      </x:c>
      <x:c r="E138" s="5" t="str">
        <x:v>iesdouyin.com</x:v>
      </x:c>
      <x:c r="F138" s="5" t="str">
        <x:v>UGC/视频/公众号</x:v>
      </x:c>
      <x:c r="G138" s="5" t="str">
        <x:v>是</x:v>
      </x:c>
      <x:c r="H138" s="5" t="str">
        <x:v>怡可纳、赛霸/小赛同学、概特/盖特、米当卡、BD能量、ALLKEEP、英之素、元气码头、三角喵、健盾、清晨鹿、爱兰纯、Quorn</x:v>
      </x:c>
      <x:c r="I138" s="5" t="str">
        <x:v>自然</x:v>
      </x:c>
      <x:c r="J138" s="5" t="str">
        <x:v>未核实</x:v>
      </x:c>
    </x:row>
    <x:row r="139" ht="27" customHeight="1">
      <x:c r="A139" s="5" t="str">
        <x:v>豆包</x:v>
      </x:c>
      <x:c r="B139" s="5" t="str">
        <x:v>Q4</x:v>
      </x:c>
      <x:c r="C139" s="5" t="str">
        <x:v>2. 酵母蛋白个人分享。我前前后后喝过不少酵母蛋白，刷了好多券之后入手价格特别划算。提醒下大家别买五磅装的，量大很容易喝腻，最后剩大半罐好浪费。</x:v>
      </x:c>
      <x:c r="D139" s="5" t="str">
        <x:v>https://www.iesdouyin.com/share/video/7683738591008617062</x:v>
      </x:c>
      <x:c r="E139" s="5" t="str">
        <x:v>iesdouyin.com</x:v>
      </x:c>
      <x:c r="F139" s="5" t="str">
        <x:v>UGC/视频/公众号</x:v>
      </x:c>
      <x:c r="G139" s="5" t="str">
        <x:v>是</x:v>
      </x:c>
      <x:c r="H139" s="5" t="str">
        <x:v>怡可纳、赛霸/小赛同学、概特/盖特、米当卡、BD能量、ALLKEEP、英之素、元气码头、三角喵、健盾、清晨鹿、爱兰纯、Quorn</x:v>
      </x:c>
      <x:c r="I139" s="5" t="str">
        <x:v>自然</x:v>
      </x:c>
      <x:c r="J139" s="5" t="str">
        <x:v>未核实</x:v>
      </x:c>
    </x:row>
    <x:row r="140" ht="27" customHeight="1">
      <x:c r="A140" s="5" t="str">
        <x:v>豆包</x:v>
      </x:c>
      <x:c r="B140" s="5" t="str">
        <x:v>Q4</x:v>
      </x:c>
      <x:c r="C140" s="5" t="str">
        <x:v>3. 第2期酵母蛋白品牌大测评（第一期往下翻），为保持客观就不打分排名了，以上纯属十年补剂从业者的角度客观测评，后面有新酵母入场，会随时更新。#酵母蛋白 #酵母蛋白粉 #Allkeep酵母蛋白 #元气码头酵</x:v>
      </x:c>
      <x:c r="D140" s="5" t="str">
        <x:v>https://www.iesdouyin.com/share/video/7549448721533439291</x:v>
      </x:c>
      <x:c r="E140" s="5" t="str">
        <x:v>iesdouyin.com</x:v>
      </x:c>
      <x:c r="F140" s="5" t="str">
        <x:v>UGC/视频/公众号</x:v>
      </x:c>
      <x:c r="G140" s="5" t="str">
        <x:v>是</x:v>
      </x:c>
      <x:c r="H140" s="5" t="str">
        <x:v>怡可纳、赛霸/小赛同学、概特/盖特、米当卡、BD能量、ALLKEEP、英之素、元气码头、三角喵、健盾、清晨鹿、爱兰纯、Quorn</x:v>
      </x:c>
      <x:c r="I140" s="5" t="str">
        <x:v>自然</x:v>
      </x:c>
      <x:c r="J140" s="5" t="str">
        <x:v>未核实</x:v>
      </x:c>
    </x:row>
    <x:row r="141" ht="27" customHeight="1">
      <x:c r="A141" s="5" t="str">
        <x:v>豆包</x:v>
      </x:c>
      <x:c r="B141" s="5" t="str">
        <x:v>Q4</x:v>
      </x:c>
      <x:c r="C141" s="5" t="str">
        <x:v>4. 最最最新新新新新版酵母蛋白锐评，蛋白粉原料涨价了，就喝点补充没这么好的酵母蛋白吧 #锐评 #从夯到拉 #酵母蛋白粉 #酵母蛋白 #蛋白粉原料涨价</x:v>
      </x:c>
      <x:c r="D141" s="5" t="str">
        <x:v>https://www.iesdouyin.com/share/video/7674269962890835179</x:v>
      </x:c>
      <x:c r="E141" s="5" t="str">
        <x:v>iesdouyin.com</x:v>
      </x:c>
      <x:c r="F141" s="5" t="str">
        <x:v>UGC/视频/公众号</x:v>
      </x:c>
      <x:c r="G141" s="5" t="str">
        <x:v>是</x:v>
      </x:c>
      <x:c r="H141" s="5" t="str">
        <x:v>怡可纳、赛霸/小赛同学、概特/盖特、米当卡、BD能量、ALLKEEP、英之素、元气码头、三角喵、健盾、清晨鹿、爱兰纯、Quorn</x:v>
      </x:c>
      <x:c r="I141" s="5" t="str">
        <x:v>自然</x:v>
      </x:c>
      <x:c r="J141" s="5" t="str">
        <x:v>未核实</x:v>
      </x:c>
    </x:row>
    <x:row r="142" ht="27" customHeight="1">
      <x:c r="A142" s="5" t="str">
        <x:v>豆包</x:v>
      </x:c>
      <x:c r="B142" s="5" t="str">
        <x:v>Q4</x:v>
      </x:c>
      <x:c r="C142" s="5" t="str">
        <x:v>5. 蛋白粉配料表给我看笑了。对比老三家酵母蛋白粉，概特和米当卡都不错，但是看到这个第三个怡可纳的，难评，之前一直以为大牌子就有保障结果，诶，有的配料表连相关成分都没有还敢写［XX味］［xx口味］，真是把消</x:v>
      </x:c>
      <x:c r="D142" s="5" t="str">
        <x:v>https://www.iesdouyin.com/share/video/7632164421302103674</x:v>
      </x:c>
      <x:c r="E142" s="5" t="str">
        <x:v>iesdouyin.com</x:v>
      </x:c>
      <x:c r="F142" s="5" t="str">
        <x:v>UGC/视频/公众号</x:v>
      </x:c>
      <x:c r="G142" s="5" t="str">
        <x:v>是</x:v>
      </x:c>
      <x:c r="H142" s="5" t="str">
        <x:v>怡可纳、赛霸/小赛同学、概特/盖特、米当卡、BD能量、ALLKEEP、英之素、元气码头、三角喵、健盾、清晨鹿、爱兰纯、Quorn</x:v>
      </x:c>
      <x:c r="I142" s="5" t="str">
        <x:v>自然</x:v>
      </x:c>
      <x:c r="J142" s="5" t="str">
        <x:v>未核实</x:v>
      </x:c>
    </x:row>
    <x:row r="143" ht="27" customHeight="1">
      <x:c r="A143" s="5" t="str">
        <x:v>豆包</x:v>
      </x:c>
      <x:c r="B143" s="5" t="str">
        <x:v>Q4</x:v>
      </x:c>
      <x:c r="C143" s="5" t="str">
        <x:v>6. 【从夯到拉】酵母蛋白粉按照营养成分和配料排行(1) 没有说明具体原料就是80原料，没有说是运动营养食品就是固体饮料 下期见合集 #酵母蛋白 #酵母蛋白粉 #蛋白粉 #蛋白质 #蛋白粉推荐</x:v>
      </x:c>
      <x:c r="D143" s="5" t="str">
        <x:v>https://www.iesdouyin.com/share/video/7610427454272629689</x:v>
      </x:c>
      <x:c r="E143" s="5" t="str">
        <x:v>iesdouyin.com</x:v>
      </x:c>
      <x:c r="F143" s="5" t="str">
        <x:v>UGC/视频/公众号</x:v>
      </x:c>
      <x:c r="G143" s="5" t="str">
        <x:v>是</x:v>
      </x:c>
      <x:c r="H143" s="5" t="str">
        <x:v>怡可纳、赛霸/小赛同学、概特/盖特、米当卡、BD能量、ALLKEEP、英之素、元气码头、三角喵、健盾、清晨鹿、爱兰纯、Quorn</x:v>
      </x:c>
      <x:c r="I143" s="5" t="str">
        <x:v>自然</x:v>
      </x:c>
      <x:c r="J143" s="5" t="str">
        <x:v>未核实</x:v>
      </x:c>
    </x:row>
    <x:row r="144" ht="27" customHeight="1">
      <x:c r="A144" s="5" t="str">
        <x:v>豆包</x:v>
      </x:c>
      <x:c r="B144" s="5" t="str">
        <x:v>Q4</x:v>
      </x:c>
      <x:c r="C144" s="5" t="str">
        <x:v>7. Angel Yeast starts Operating New 11,000-Ton Yeast Protein Production Line to Meet Global Demand for Sustainable Nutrition - Compañía - Angelyeast-es</x:v>
      </x:c>
      <x:c r="D144" s="5" t="str">
        <x:v>https://www.angelyeast.com/es/news/company/angel-yeast-starts-operating-new-11000-ton-yeast-protein-production-line.html</x:v>
      </x:c>
      <x:c r="E144" s="5" t="str">
        <x:v>angelyeast.com</x:v>
      </x:c>
      <x:c r="F144" s="5" t="str">
        <x:v>企业官网</x:v>
      </x:c>
      <x:c r="G144" s="5" t="str">
        <x:v>是</x:v>
      </x:c>
      <x:c r="H144" s="5" t="str">
        <x:v>怡可纳、赛霸/小赛同学、概特/盖特、米当卡、BD能量、ALLKEEP、英之素、元气码头、三角喵、健盾、清晨鹿、爱兰纯、Quorn</x:v>
      </x:c>
      <x:c r="I144" s="5" t="str">
        <x:v>自然</x:v>
      </x:c>
      <x:c r="J144" s="5" t="str">
        <x:v>未核实</x:v>
      </x:c>
    </x:row>
    <x:row r="145" ht="27" customHeight="1">
      <x:c r="A145" s="5" t="str">
        <x:v>豆包</x:v>
      </x:c>
      <x:c r="B145" s="5" t="str">
        <x:v>Q4</x:v>
      </x:c>
      <x:c r="C145" s="5" t="str">
        <x:v>8. “市面上三种原料酵母蛋白测评” #蛋白粉 #酵母蛋白</x:v>
      </x:c>
      <x:c r="D145" s="5" t="str">
        <x:v>https://www.iesdouyin.com/share/video/7668762039380481203</x:v>
      </x:c>
      <x:c r="E145" s="5" t="str">
        <x:v>iesdouyin.com</x:v>
      </x:c>
      <x:c r="F145" s="5" t="str">
        <x:v>UGC/视频/公众号</x:v>
      </x:c>
      <x:c r="G145" s="5" t="str">
        <x:v>是</x:v>
      </x:c>
      <x:c r="H145" s="5" t="str">
        <x:v>怡可纳、赛霸/小赛同学、概特/盖特、米当卡、BD能量、ALLKEEP、英之素、元气码头、三角喵、健盾、清晨鹿、爱兰纯、Quorn</x:v>
      </x:c>
      <x:c r="I145" s="5" t="str">
        <x:v>自然</x:v>
      </x:c>
      <x:c r="J145" s="5" t="str">
        <x:v>未核实</x:v>
      </x:c>
    </x:row>
    <x:row r="146" ht="27" customHeight="1">
      <x:c r="A146" s="5" t="str">
        <x:v>豆包</x:v>
      </x:c>
      <x:c r="B146" s="5" t="str">
        <x:v>Q4</x:v>
      </x:c>
      <x:c r="C146" s="5" t="str">
        <x:v>9. 酵母蛋白推荐。全程无广 理性辨别 自主选择 #酵母蛋白 #瘦子增肌 #增肌 #学生党好物推荐</x:v>
      </x:c>
      <x:c r="D146" s="5" t="str">
        <x:v>https://www.iesdouyin.com/share/video/7686041533813149531</x:v>
      </x:c>
      <x:c r="E146" s="5" t="str">
        <x:v>iesdouyin.com</x:v>
      </x:c>
      <x:c r="F146" s="5" t="str">
        <x:v>UGC/视频/公众号</x:v>
      </x:c>
      <x:c r="G146" s="5" t="str">
        <x:v>是</x:v>
      </x:c>
      <x:c r="H146" s="5" t="str">
        <x:v>怡可纳、赛霸/小赛同学、概特/盖特、米当卡、BD能量、ALLKEEP、英之素、元气码头、三角喵、健盾、清晨鹿、爱兰纯、Quorn</x:v>
      </x:c>
      <x:c r="I146" s="5" t="str">
        <x:v>自然</x:v>
      </x:c>
      <x:c r="J146" s="5" t="str">
        <x:v>未核实</x:v>
      </x:c>
    </x:row>
    <x:row r="147" ht="27" customHeight="1">
      <x:c r="A147" s="5" t="str">
        <x:v>豆包</x:v>
      </x:c>
      <x:c r="B147" s="5" t="str">
        <x:v>Q4</x:v>
      </x:c>
      <x:c r="C147" s="5" t="str">
        <x:v>10. 酵母蛋白大排行 说说谁是你心中的第一名#酵母蛋白 #allkeep酵母蛋白</x:v>
      </x:c>
      <x:c r="D147" s="5" t="str">
        <x:v>https://www.iesdouyin.com/share/video/7596637398257679494</x:v>
      </x:c>
      <x:c r="E147" s="5" t="str">
        <x:v>iesdouyin.com</x:v>
      </x:c>
      <x:c r="F147" s="5" t="str">
        <x:v>UGC/视频/公众号</x:v>
      </x:c>
      <x:c r="G147" s="5" t="str">
        <x:v>是</x:v>
      </x:c>
      <x:c r="H147" s="5" t="str">
        <x:v>怡可纳、赛霸/小赛同学、概特/盖特、米当卡、BD能量、ALLKEEP、英之素、元气码头、三角喵、健盾、清晨鹿、爱兰纯、Quorn</x:v>
      </x:c>
      <x:c r="I147" s="5" t="str">
        <x:v>自然</x:v>
      </x:c>
      <x:c r="J147" s="5" t="str">
        <x:v>未核实</x:v>
      </x:c>
    </x:row>
    <x:row r="148" ht="27" customHeight="1">
      <x:c r="A148" s="5" t="str">
        <x:v>豆包</x:v>
      </x:c>
      <x:c r="B148" s="5" t="str">
        <x:v>Q4</x:v>
      </x:c>
      <x:c r="C148" s="5" t="str">
        <x:v>11. 国内首款!微生物蛋白类食品配料蛋白含量卷到90%! Foodaily带你走进HNC&amp;FiA2026，解锁安琪以酵母科技与生物制造创新为核心，一场围绕"微生物蛋白与功能性配料"的解决方案。#安琪 #酵母</x:v>
      </x:c>
      <x:c r="D148" s="5" t="str">
        <x:v>https://www.iesdouyin.com/share/video/7654529149188590882</x:v>
      </x:c>
      <x:c r="E148" s="5" t="str">
        <x:v>iesdouyin.com</x:v>
      </x:c>
      <x:c r="F148" s="5" t="str">
        <x:v>UGC/视频/公众号</x:v>
      </x:c>
      <x:c r="G148" s="5" t="str">
        <x:v>是</x:v>
      </x:c>
      <x:c r="H148" s="5" t="str">
        <x:v>怡可纳、赛霸/小赛同学、概特/盖特、米当卡、BD能量、ALLKEEP、英之素、元气码头、三角喵、健盾、清晨鹿、爱兰纯、Quorn</x:v>
      </x:c>
      <x:c r="I148" s="5" t="str">
        <x:v>自然</x:v>
      </x:c>
      <x:c r="J148" s="5" t="str">
        <x:v>未核实</x:v>
      </x:c>
    </x:row>
    <x:row r="149" ht="27" customHeight="1">
      <x:c r="A149" s="5" t="str">
        <x:v>豆包</x:v>
      </x:c>
      <x:c r="B149" s="5" t="str">
        <x:v>Q4</x:v>
      </x:c>
      <x:c r="C149" s="5" t="str">
        <x:v>12. Angel Yeast Pioneers the Next Era of Protein Supply in the Face of Soaring Global Whey Prices - Yeast Protein - Angelyeast</x:v>
      </x:c>
      <x:c r="D149" s="5" t="str">
        <x:v>https://en.angelyeast.com/blog/yeast-protein/angel-yeast-protein-supply-global-whey-prices.html</x:v>
      </x:c>
      <x:c r="E149" s="5" t="str">
        <x:v>en.angelyeast.com</x:v>
      </x:c>
      <x:c r="F149" s="5" t="str">
        <x:v>企业官网</x:v>
      </x:c>
      <x:c r="G149" s="5" t="str">
        <x:v>是</x:v>
      </x:c>
      <x:c r="H149" s="5" t="str">
        <x:v>怡可纳、赛霸/小赛同学、概特/盖特、米当卡、BD能量、ALLKEEP、英之素、元气码头、三角喵、健盾、清晨鹿、爱兰纯、Quorn</x:v>
      </x:c>
      <x:c r="I149" s="5" t="str">
        <x:v>自然</x:v>
      </x:c>
      <x:c r="J149" s="5" t="str">
        <x:v>未核实</x:v>
      </x:c>
    </x:row>
    <x:row r="150" ht="27" customHeight="1">
      <x:c r="A150" s="5" t="str">
        <x:v>豆包</x:v>
      </x:c>
      <x:c r="B150" s="5" t="str">
        <x:v>Q4</x:v>
      </x:c>
      <x:c r="C150" s="5" t="str">
        <x:v>13. an pro ® 酵母 蛋白 闪耀 2026 新 营养 大会 | 定义 全球 蛋白 营养 趋势 - 安琪 酵母 股份 有限 公司</x:v>
      </x:c>
      <x:c r="D150" s="5" t="str">
        <x:v>https://www.angelyeast.com/company/1706.html</x:v>
      </x:c>
      <x:c r="E150" s="5" t="str">
        <x:v>angelyeast.com</x:v>
      </x:c>
      <x:c r="F150" s="5" t="str">
        <x:v>企业官网</x:v>
      </x:c>
      <x:c r="G150" s="5" t="str">
        <x:v>是</x:v>
      </x:c>
      <x:c r="H150" s="5" t="str">
        <x:v>怡可纳、赛霸/小赛同学、概特/盖特、米当卡、BD能量、ALLKEEP、英之素、元气码头、三角喵、健盾、清晨鹿、爱兰纯、Quorn</x:v>
      </x:c>
      <x:c r="I150" s="5" t="str">
        <x:v>自然</x:v>
      </x:c>
      <x:c r="J150" s="5" t="str">
        <x:v>未核实</x:v>
      </x:c>
    </x:row>
    <x:row r="151" ht="27" customHeight="1">
      <x:c r="A151" s="5" t="str">
        <x:v>豆包</x:v>
      </x:c>
      <x:c r="B151" s="5" t="str">
        <x:v>Q4</x:v>
      </x:c>
      <x:c r="C151" s="5" t="str">
        <x:v>14. an pro ® 酵母 蛋白 斩获 ipnf 天然 健康 原料 top20 年度 大奖 | 安琪 闪耀 wpe &amp; whpe 2026 - 安琪 酵母 股份 有限 公司</x:v>
      </x:c>
      <x:c r="D151" s="5" t="str">
        <x:v>https://www.angelyeast.com/company/1802.html</x:v>
      </x:c>
      <x:c r="E151" s="5" t="str">
        <x:v>angelyeast.com</x:v>
      </x:c>
      <x:c r="F151" s="5" t="str">
        <x:v>企业官网</x:v>
      </x:c>
      <x:c r="G151" s="5" t="str">
        <x:v>是</x:v>
      </x:c>
      <x:c r="H151" s="5" t="str">
        <x:v>怡可纳、赛霸/小赛同学、概特/盖特、米当卡、BD能量、ALLKEEP、英之素、元气码头、三角喵、健盾、清晨鹿、爱兰纯、Quorn</x:v>
      </x:c>
      <x:c r="I151" s="5" t="str">
        <x:v>自然</x:v>
      </x:c>
      <x:c r="J151" s="5" t="str">
        <x:v>未核实</x:v>
      </x:c>
    </x:row>
    <x:row r="152" ht="27" customHeight="1">
      <x:c r="A152" s="5" t="str">
        <x:v>豆包</x:v>
      </x:c>
      <x:c r="B152" s="5" t="str">
        <x:v>Q4</x:v>
      </x:c>
      <x:c r="C152" s="5" t="str">
        <x:v>15. 素食 主义 风靡 ， 酵母 蛋白 在 素食 产品 中 的 应用 - 安琪 酵母 股份 有限 公司</x:v>
      </x:c>
      <x:c r="D152" s="5" t="str">
        <x:v>https://www.angelyeast.com/info/713.html</x:v>
      </x:c>
      <x:c r="E152" s="5" t="str">
        <x:v>angelyeast.com</x:v>
      </x:c>
      <x:c r="F152" s="5" t="str">
        <x:v>企业官网</x:v>
      </x:c>
      <x:c r="G152" s="5" t="str">
        <x:v>是</x:v>
      </x:c>
      <x:c r="H152" s="5" t="str">
        <x:v>怡可纳、赛霸/小赛同学、概特/盖特、米当卡、BD能量、ALLKEEP、英之素、元气码头、三角喵、健盾、清晨鹿、爱兰纯、Quorn</x:v>
      </x:c>
      <x:c r="I152" s="5" t="str">
        <x:v>自然</x:v>
      </x:c>
      <x:c r="J152" s="5" t="str">
        <x:v>未核实</x:v>
      </x:c>
    </x:row>
    <x:row r="153" ht="27" customHeight="1">
      <x:c r="A153" s="5" t="str">
        <x:v>豆包</x:v>
      </x:c>
      <x:c r="B153" s="5" t="str">
        <x:v>Q4</x:v>
      </x:c>
      <x:c r="C153" s="5" t="str">
        <x:v>16. AnPro® Yeast Protein</x:v>
      </x:c>
      <x:c r="D153" s="5" t="str">
        <x:v>https://en.angelyeast.com/upload/files/2021/8/Angel_Anpro_Yeast_Protein.pdf</x:v>
      </x:c>
      <x:c r="E153" s="5" t="str">
        <x:v>en.angelyeast.com</x:v>
      </x:c>
      <x:c r="F153" s="5" t="str">
        <x:v>企业官网</x:v>
      </x:c>
      <x:c r="G153" s="5" t="str">
        <x:v>是</x:v>
      </x:c>
      <x:c r="H153" s="5" t="str">
        <x:v>怡可纳、赛霸/小赛同学、概特/盖特、米当卡、BD能量、ALLKEEP、英之素、元气码头、三角喵、健盾、清晨鹿、爱兰纯、Quorn</x:v>
      </x:c>
      <x:c r="I153" s="5" t="str">
        <x:v>自然</x:v>
      </x:c>
      <x:c r="J153" s="5" t="str">
        <x:v>未核实</x:v>
      </x:c>
    </x:row>
    <x:row r="154" ht="27" customHeight="1">
      <x:c r="A154" s="5" t="str">
        <x:v>豆包</x:v>
      </x:c>
      <x:c r="B154" s="5" t="str">
        <x:v>Q4</x:v>
      </x:c>
      <x:c r="C154" s="5" t="str">
        <x:v>17. an pro ® 酵母 蛋白 — — 引航 运动 营养 与 可 持续 未来 的 技术 革新 - 安琪 酵母 股份 有限 公司</x:v>
      </x:c>
      <x:c r="D154" s="5" t="str">
        <x:v>https://www.angelyeast.com/info/1409.html</x:v>
      </x:c>
      <x:c r="E154" s="5" t="str">
        <x:v>angelyeast.com</x:v>
      </x:c>
      <x:c r="F154" s="5" t="str">
        <x:v>企业官网</x:v>
      </x:c>
      <x:c r="G154" s="5" t="str">
        <x:v>是</x:v>
      </x:c>
      <x:c r="H154" s="5" t="str">
        <x:v>怡可纳、赛霸/小赛同学、概特/盖特、米当卡、BD能量、ALLKEEP、英之素、元气码头、三角喵、健盾、清晨鹿、爱兰纯、Quorn</x:v>
      </x:c>
      <x:c r="I154" s="5" t="str">
        <x:v>自然</x:v>
      </x:c>
      <x:c r="J154" s="5" t="str">
        <x:v>未核实</x:v>
      </x:c>
    </x:row>
    <x:row r="155" ht="27" customHeight="1">
      <x:c r="A155" s="5" t="str">
        <x:v>豆包</x:v>
      </x:c>
      <x:c r="B155" s="5" t="str">
        <x:v>Q4</x:v>
      </x:c>
      <x:c r="C155" s="5" t="str">
        <x:v>18. 酵母蛋白。蛋白粉 酵母蛋白 乳清蛋白 河北石家庄 代工厂 特膳食品，提供配方支持</x:v>
      </x:c>
      <x:c r="D155" s="5" t="str">
        <x:v>https://www.iesdouyin.com/share/video/7664473968636462483</x:v>
      </x:c>
      <x:c r="E155" s="5" t="str">
        <x:v>iesdouyin.com</x:v>
      </x:c>
      <x:c r="F155" s="5" t="str">
        <x:v>UGC/视频/公众号</x:v>
      </x:c>
      <x:c r="G155" s="5" t="str">
        <x:v>是</x:v>
      </x:c>
      <x:c r="H155" s="5" t="str">
        <x:v>怡可纳、赛霸/小赛同学、概特/盖特、米当卡、BD能量、ALLKEEP、英之素、元气码头、三角喵、健盾、清晨鹿、爱兰纯、Quorn</x:v>
      </x:c>
      <x:c r="I155" s="5" t="str">
        <x:v>自然</x:v>
      </x:c>
      <x:c r="J155" s="5" t="str">
        <x:v>未核实</x:v>
      </x:c>
    </x:row>
    <x:row r="156" ht="27" customHeight="1">
      <x:c r="A156" s="5" t="str">
        <x:v>豆包</x:v>
      </x:c>
      <x:c r="B156" s="5" t="str">
        <x:v>Q4</x:v>
      </x:c>
      <x:c r="C156" s="5" t="str">
        <x:v>19. 酵母蛋白的几种原料 #酵母蛋白 #蛋白粉 #健身</x:v>
      </x:c>
      <x:c r="D156" s="5" t="str">
        <x:v>https://www.iesdouyin.com/share/video/7685751315192430770</x:v>
      </x:c>
      <x:c r="E156" s="5" t="str">
        <x:v>iesdouyin.com</x:v>
      </x:c>
      <x:c r="F156" s="5" t="str">
        <x:v>UGC/视频/公众号</x:v>
      </x:c>
      <x:c r="G156" s="5" t="str">
        <x:v>是</x:v>
      </x:c>
      <x:c r="H156" s="5" t="str">
        <x:v>怡可纳、赛霸/小赛同学、概特/盖特、米当卡、BD能量、ALLKEEP、英之素、元气码头、三角喵、健盾、清晨鹿、爱兰纯、Quorn</x:v>
      </x:c>
      <x:c r="I156" s="5" t="str">
        <x:v>自然</x:v>
      </x:c>
      <x:c r="J156" s="5" t="str">
        <x:v>未核实</x:v>
      </x:c>
    </x:row>
    <x:row r="157" ht="27" customHeight="1">
      <x:c r="A157" s="5" t="str">
        <x:v>豆包</x:v>
      </x:c>
      <x:c r="B157" s="5" t="str">
        <x:v>Q4</x:v>
      </x:c>
      <x:c r="C157" s="5" t="str">
        <x:v>20. AngeoPro, A Sustainably Sourced Natural Yeast Protein - Angelyeast</x:v>
      </x:c>
      <x:c r="D157" s="5" t="str">
        <x:v>https://en.angelyeast.com/products/human-health/angeopro-a-sustainably-sourced-natural-yeast-protein.html</x:v>
      </x:c>
      <x:c r="E157" s="5" t="str">
        <x:v>en.angelyeast.com</x:v>
      </x:c>
      <x:c r="F157" s="5" t="str">
        <x:v>企业官网</x:v>
      </x:c>
      <x:c r="G157" s="5" t="str">
        <x:v>是</x:v>
      </x:c>
      <x:c r="H157" s="5" t="str">
        <x:v>怡可纳、赛霸/小赛同学、概特/盖特、米当卡、BD能量、ALLKEEP、英之素、元气码头、三角喵、健盾、清晨鹿、爱兰纯、Quorn</x:v>
      </x:c>
      <x:c r="I157" s="5" t="str">
        <x:v>自然</x:v>
      </x:c>
      <x:c r="J157" s="5" t="str">
        <x:v>未核实</x:v>
      </x:c>
    </x:row>
    <x:row r="158" ht="27" customHeight="1">
      <x:c r="A158" s="5" t="str">
        <x:v>豆包</x:v>
      </x:c>
      <x:c r="B158" s="5" t="str">
        <x:v>Q5</x:v>
      </x:c>
      <x:c r="C158" s="5" t="str">
        <x:v>1. 五种蛋白粉，糖人怎么选？ 选购避坑五条 1. 优先选分离款，避开浓缩乳清（乳糖偏高） 2. 拒绝添加麦芽糊精、果葡糖浆的蛋白粉 3. 单次摄入量控制好，不要过量补充 4. 服用后监测自身血糖，个体有差</x:v>
      </x:c>
      <x:c r="D158" s="5" t="str">
        <x:v>https://www.iesdouyin.com/share/video/7678296811647653489</x:v>
      </x:c>
      <x:c r="E158" s="5" t="str">
        <x:v>iesdouyin.com</x:v>
      </x:c>
      <x:c r="F158" s="5" t="str">
        <x:v>UGC/视频/公众号</x:v>
      </x:c>
      <x:c r="G158" s="5" t="str">
        <x:v>否</x:v>
      </x:c>
      <x:c r="H158" s="5" t="str"/>
      <x:c r="I158" s="5" t="str">
        <x:v>自然</x:v>
      </x:c>
      <x:c r="J158" s="5" t="str">
        <x:v>未核实</x:v>
      </x:c>
    </x:row>
    <x:row r="159" ht="27" customHeight="1">
      <x:c r="A159" s="5" t="str">
        <x:v>豆包</x:v>
      </x:c>
      <x:c r="B159" s="5" t="str">
        <x:v>Q5</x:v>
      </x:c>
      <x:c r="C159" s="5" t="str">
        <x:v>2. 乳糖不耐受的人，蛋白粉千万别乱选！。❌这三种千万别碰： 含乳糖的浓缩乳清蛋白 ❌ 添加代糖香精的调味粉 ❌ 高渗透压的运动蛋白粉 ❌ ✅选对蛋白粉，看准这三点： 1️⃣ 分离乳清蛋白，0乳糖低负担 2</x:v>
      </x:c>
      <x:c r="D159" s="5" t="str">
        <x:v>https://www.iesdouyin.com/share/video/7620316206058245382</x:v>
      </x:c>
      <x:c r="E159" s="5" t="str">
        <x:v>iesdouyin.com</x:v>
      </x:c>
      <x:c r="F159" s="5" t="str">
        <x:v>UGC/视频/公众号</x:v>
      </x:c>
      <x:c r="G159" s="5" t="str">
        <x:v>否</x:v>
      </x:c>
      <x:c r="H159" s="5" t="str"/>
      <x:c r="I159" s="5" t="str">
        <x:v>自然</x:v>
      </x:c>
      <x:c r="J159" s="5" t="str">
        <x:v>未核实</x:v>
      </x:c>
    </x:row>
    <x:row r="160" ht="27" customHeight="1">
      <x:c r="A160" s="5" t="str">
        <x:v>豆包</x:v>
      </x:c>
      <x:c r="B160" s="5" t="str">
        <x:v>Q5</x:v>
      </x:c>
      <x:c r="C160" s="5" t="str">
        <x:v>3. 目前市面上主流的蛋白粉就三种，要记住含量75%以上的才能叫做蛋白粉。TB上有一种含量百分之25%，叫增肌粉，效果和一碗大米饭相当，一定要看仔细了！ 蛋白粉的种类： [飞盘R]乳清蛋白粉适合健身人群，吸</x:v>
      </x:c>
      <x:c r="D160" s="5" t="str">
        <x:v>https://www.iesdouyin.com/share/video/7640264149096549491</x:v>
      </x:c>
      <x:c r="E160" s="5" t="str">
        <x:v>iesdouyin.com</x:v>
      </x:c>
      <x:c r="F160" s="5" t="str">
        <x:v>UGC/视频/公众号</x:v>
      </x:c>
      <x:c r="G160" s="5" t="str">
        <x:v>否</x:v>
      </x:c>
      <x:c r="H160" s="5" t="str"/>
      <x:c r="I160" s="5" t="str">
        <x:v>自然</x:v>
      </x:c>
      <x:c r="J160" s="5" t="str">
        <x:v>未核实</x:v>
      </x:c>
    </x:row>
    <x:row r="161" ht="27" customHeight="1">
      <x:c r="A161" s="5" t="str">
        <x:v>豆包</x:v>
      </x:c>
      <x:c r="B161" s="5" t="str">
        <x:v>Q5</x:v>
      </x:c>
      <x:c r="C161" s="5" t="str">
        <x:v>4. 一条视频带你看懂目前比较热门的几款分离蛋白粉，临近618很多兄弟都不知道该如何选择分离，一条视频带你概括热门分离的优缺点包括，on，yamamoto，foyes，rule，肌肉科技，allmax，迪马</x:v>
      </x:c>
      <x:c r="D161" s="5" t="str">
        <x:v>https://www.iesdouyin.com/share/video/7640898006263573434</x:v>
      </x:c>
      <x:c r="E161" s="5" t="str">
        <x:v>iesdouyin.com</x:v>
      </x:c>
      <x:c r="F161" s="5" t="str">
        <x:v>UGC/视频/公众号</x:v>
      </x:c>
      <x:c r="G161" s="5" t="str">
        <x:v>否</x:v>
      </x:c>
      <x:c r="H161" s="5" t="str"/>
      <x:c r="I161" s="5" t="str">
        <x:v>自然</x:v>
      </x:c>
      <x:c r="J161" s="5" t="str">
        <x:v>未核实</x:v>
      </x:c>
    </x:row>
    <x:row r="162" ht="27" customHeight="1">
      <x:c r="A162" s="5" t="str">
        <x:v>豆包</x:v>
      </x:c>
      <x:c r="B162" s="5" t="str">
        <x:v>Q5</x:v>
      </x:c>
      <x:c r="C162" s="5" t="str">
        <x:v>5. 本来就乳糖不耐受的人，现在需要挑一个适合自己的蛋白粉更是难上加难。对于这些朋友，我专门整理了三款市面上能买到并且回购率相对较高的几款产品，希望一定程度上能帮助到大家#蛋白粉 #术后恢复</x:v>
      </x:c>
      <x:c r="D162" s="5" t="str">
        <x:v>https://www.iesdouyin.com/share/video/7598351931458949989</x:v>
      </x:c>
      <x:c r="E162" s="5" t="str">
        <x:v>iesdouyin.com</x:v>
      </x:c>
      <x:c r="F162" s="5" t="str">
        <x:v>UGC/视频/公众号</x:v>
      </x:c>
      <x:c r="G162" s="5" t="str">
        <x:v>否</x:v>
      </x:c>
      <x:c r="H162" s="5" t="str"/>
      <x:c r="I162" s="5" t="str">
        <x:v>自然</x:v>
      </x:c>
      <x:c r="J162" s="5" t="str">
        <x:v>未核实</x:v>
      </x:c>
    </x:row>
    <x:row r="163" ht="27" customHeight="1">
      <x:c r="A163" s="5" t="str">
        <x:v>豆包</x:v>
      </x:c>
      <x:c r="B163" s="5" t="str">
        <x:v>Q5</x:v>
      </x:c>
      <x:c r="C163" s="5" t="str">
        <x:v>6. Why Whey Protein Causes Bloating (And What Malaysians Should Use Instead) – FYLL</x:v>
      </x:c>
      <x:c r="D163" s="5" t="str">
        <x:v>https://fyll.club/blogs/guide/why-whey-protein-causes-bloating-malaysians</x:v>
      </x:c>
      <x:c r="E163" s="5" t="str">
        <x:v>fyll.club</x:v>
      </x:c>
      <x:c r="F163" s="5" t="str">
        <x:v>其他网页</x:v>
      </x:c>
      <x:c r="G163" s="5" t="str">
        <x:v>否</x:v>
      </x:c>
      <x:c r="H163" s="5" t="str"/>
      <x:c r="I163" s="5" t="str">
        <x:v>自然</x:v>
      </x:c>
      <x:c r="J163" s="5" t="str">
        <x:v>未核实</x:v>
      </x:c>
    </x:row>
    <x:row r="164" ht="27" customHeight="1">
      <x:c r="A164" s="5" t="str">
        <x:v>豆包</x:v>
      </x:c>
      <x:c r="B164" s="5" t="str">
        <x:v>Q5</x:v>
      </x:c>
      <x:c r="C164" s="5" t="str">
        <x:v>7. Whey vs Plant Protein for Indians: Which Wins | YourTrainer Blog</x:v>
      </x:c>
      <x:c r="D164" s="5" t="str">
        <x:v>https://www.yourtrainer.in/blog/whey-vs-plant-protein-india-lactose-brands</x:v>
      </x:c>
      <x:c r="E164" s="5" t="str">
        <x:v>yourtrainer.in</x:v>
      </x:c>
      <x:c r="F164" s="5" t="str">
        <x:v>其他网页</x:v>
      </x:c>
      <x:c r="G164" s="5" t="str">
        <x:v>否</x:v>
      </x:c>
      <x:c r="H164" s="5" t="str"/>
      <x:c r="I164" s="5" t="str">
        <x:v>自然</x:v>
      </x:c>
      <x:c r="J164" s="5" t="str">
        <x:v>未核实</x:v>
      </x:c>
    </x:row>
    <x:row r="165" ht="27" customHeight="1">
      <x:c r="A165" s="5" t="str">
        <x:v>豆包</x:v>
      </x:c>
      <x:c r="B165" s="5" t="str">
        <x:v>Q5</x:v>
      </x:c>
      <x:c r="C165" s="5" t="str">
        <x:v>8. Best Protein Powder for Lactose Intolerance: A Data-Driven Guide</x:v>
      </x:c>
      <x:c r="D165" s="5" t="str">
        <x:v>https://www.supplementmath.com/protein-powder/learn/protein-for-lactose-intolerance/</x:v>
      </x:c>
      <x:c r="E165" s="5" t="str">
        <x:v>supplementmath.com</x:v>
      </x:c>
      <x:c r="F165" s="5" t="str">
        <x:v>其他网页</x:v>
      </x:c>
      <x:c r="G165" s="5" t="str">
        <x:v>否</x:v>
      </x:c>
      <x:c r="H165" s="5" t="str"/>
      <x:c r="I165" s="5" t="str">
        <x:v>自然</x:v>
      </x:c>
      <x:c r="J165" s="5" t="str">
        <x:v>未核实</x:v>
      </x:c>
    </x:row>
    <x:row r="166" ht="27" customHeight="1">
      <x:c r="A166" s="5" t="str">
        <x:v>豆包</x:v>
      </x:c>
      <x:c r="B166" s="5" t="str">
        <x:v>Q5</x:v>
      </x:c>
      <x:c r="C166" s="5" t="str">
        <x:v>9. Dairy-Free Whey Protein Isolate and Alternatives for Lactose-Intolerant Consumers</x:v>
      </x:c>
      <x:c r="D166" s="5" t="str">
        <x:v>https://anruibio.com/whey-protein-dairy-free-alternatives-lactose-intolerance/</x:v>
      </x:c>
      <x:c r="E166" s="5" t="str">
        <x:v>anruibio.com</x:v>
      </x:c>
      <x:c r="F166" s="5" t="str">
        <x:v>其他网页</x:v>
      </x:c>
      <x:c r="G166" s="5" t="str">
        <x:v>否</x:v>
      </x:c>
      <x:c r="H166" s="5" t="str"/>
      <x:c r="I166" s="5" t="str">
        <x:v>自然</x:v>
      </x:c>
      <x:c r="J166" s="5" t="str">
        <x:v>未核实</x:v>
      </x:c>
    </x:row>
    <x:row r="167" ht="27" customHeight="1">
      <x:c r="A167" s="5" t="str">
        <x:v>豆包</x:v>
      </x:c>
      <x:c r="B167" s="5" t="str">
        <x:v>Q5</x:v>
      </x:c>
      <x:c r="C167" s="5" t="str">
        <x:v>10. 7 Best Protein Powder For Lactose Intolerance | Dairy-Free Power</x:v>
      </x:c>
      <x:c r="D167" s="5" t="str">
        <x:v>https://wellwhisk.com/best-protein-powder-for-lactose-intolerance/</x:v>
      </x:c>
      <x:c r="E167" s="5" t="str">
        <x:v>wellwhisk.com</x:v>
      </x:c>
      <x:c r="F167" s="5" t="str">
        <x:v>其他网页</x:v>
      </x:c>
      <x:c r="G167" s="5" t="str">
        <x:v>否</x:v>
      </x:c>
      <x:c r="H167" s="5" t="str"/>
      <x:c r="I167" s="5" t="str">
        <x:v>自然</x:v>
      </x:c>
      <x:c r="J167" s="5" t="str">
        <x:v>未核实</x:v>
      </x:c>
    </x:row>
    <x:row r="168" ht="27" customHeight="1">
      <x:c r="A168" s="5" t="str">
        <x:v>豆包</x:v>
      </x:c>
      <x:c r="B168" s="5" t="str">
        <x:v>Q5</x:v>
      </x:c>
      <x:c r="C168" s="5" t="str">
        <x:v>11. 9 Best Lactose-Free Protein Powders in 2026</x:v>
      </x:c>
      <x:c r="D168" s="5" t="str">
        <x:v>https://store.torokhtiy.com/blogs/reviews/best-lactose-free-protein-powder?ref=JIMMYDREW</x:v>
      </x:c>
      <x:c r="E168" s="5" t="str">
        <x:v>store.torokhtiy.com</x:v>
      </x:c>
      <x:c r="F168" s="5" t="str">
        <x:v>其他网页</x:v>
      </x:c>
      <x:c r="G168" s="5" t="str">
        <x:v>否</x:v>
      </x:c>
      <x:c r="H168" s="5" t="str"/>
      <x:c r="I168" s="5" t="str">
        <x:v>自然</x:v>
      </x:c>
      <x:c r="J168" s="5" t="str">
        <x:v>未核实</x:v>
      </x:c>
    </x:row>
    <x:row r="169" ht="27" customHeight="1">
      <x:c r="A169" s="5" t="str">
        <x:v>豆包</x:v>
      </x:c>
      <x:c r="B169" s="5" t="str">
        <x:v>Q5</x:v>
      </x:c>
      <x:c r="C169" s="5" t="str">
        <x:v>12. 减重手术的营养与多学科管理专家共识</x:v>
      </x:c>
      <x:c r="D169" s="5" t="str">
        <x:v>https://rs.yiigle.com/cmaid/1022024#imported-data</x:v>
      </x:c>
      <x:c r="E169" s="5" t="str">
        <x:v>rs.yiigle.com</x:v>
      </x:c>
      <x:c r="F169" s="5" t="str">
        <x:v>其他网页</x:v>
      </x:c>
      <x:c r="G169" s="5" t="str">
        <x:v>否</x:v>
      </x:c>
      <x:c r="H169" s="5" t="str"/>
      <x:c r="I169" s="5" t="str">
        <x:v>自然</x:v>
      </x:c>
      <x:c r="J169" s="5" t="str">
        <x:v>未核实</x:v>
      </x:c>
    </x:row>
    <x:row r="170" ht="27" customHeight="1">
      <x:c r="A170" s="5" t="str">
        <x:v>豆包</x:v>
      </x:c>
      <x:c r="B170" s="5" t="str">
        <x:v>Q5</x:v>
      </x:c>
      <x:c r="C170" s="5" t="str">
        <x:v>13. 特殊医学用途配方食品临床应用指南</x:v>
      </x:c>
      <x:c r="D170" s="5" t="str">
        <x:v>https://m.zhangqiaokeyan.com/book-cn/081501336419.html#imported-data</x:v>
      </x:c>
      <x:c r="E170" s="5" t="str">
        <x:v>zhangqiaokeyan.com</x:v>
      </x:c>
      <x:c r="F170" s="5" t="str">
        <x:v>其他网页</x:v>
      </x:c>
      <x:c r="G170" s="5" t="str">
        <x:v>否</x:v>
      </x:c>
      <x:c r="H170" s="5" t="str"/>
      <x:c r="I170" s="5" t="str">
        <x:v>自然</x:v>
      </x:c>
      <x:c r="J170" s="5" t="str">
        <x:v>未核实</x:v>
      </x:c>
    </x:row>
    <x:row r="171" ht="27" customHeight="1">
      <x:c r="A171" s="5" t="str">
        <x:v>豆包</x:v>
      </x:c>
      <x:c r="B171" s="5" t="str">
        <x:v>Q5</x:v>
      </x:c>
      <x:c r="C171" s="5" t="str">
        <x:v>14. 安素 肠内营养粉剂(TP) 400g-小荷AI医生-药品说明书</x:v>
      </x:c>
      <x:c r="D171" s="5" t="str">
        <x:v>https://search.xiaohe.cn/drug/document?channel=doubao&amp;device_id=7690480443015431731&amp;drug_id=7479030319077827347&amp;enter_from_merge=medical_search_summary&amp;enter_position=medical_search&amp;entrance_form=doubao</x:v>
      </x:c>
      <x:c r="E171" s="5" t="str">
        <x:v>search.xiaohe.cn</x:v>
      </x:c>
      <x:c r="F171" s="5" t="str">
        <x:v>其他网页</x:v>
      </x:c>
      <x:c r="G171" s="5" t="str">
        <x:v>否</x:v>
      </x:c>
      <x:c r="H171" s="5" t="str"/>
      <x:c r="I171" s="5" t="str">
        <x:v>自然</x:v>
      </x:c>
      <x:c r="J171" s="5" t="str">
        <x:v>未核实</x:v>
      </x:c>
    </x:row>
    <x:row r="172" ht="27" customHeight="1">
      <x:c r="A172" s="5" t="str">
        <x:v>豆包</x:v>
      </x:c>
      <x:c r="B172" s="5" t="str">
        <x:v>Q5</x:v>
      </x:c>
      <x:c r="C172" s="5" t="str">
        <x:v>15. 儿童围手术期营养管理专家共识</x:v>
      </x:c>
      <x:c r="D172" s="5" t="str">
        <x:v>https://rs.yiigle.com/cmaid/1173062#imported-data</x:v>
      </x:c>
      <x:c r="E172" s="5" t="str">
        <x:v>rs.yiigle.com</x:v>
      </x:c>
      <x:c r="F172" s="5" t="str">
        <x:v>其他网页</x:v>
      </x:c>
      <x:c r="G172" s="5" t="str">
        <x:v>否</x:v>
      </x:c>
      <x:c r="H172" s="5" t="str"/>
      <x:c r="I172" s="5" t="str">
        <x:v>自然</x:v>
      </x:c>
      <x:c r="J172" s="5" t="str">
        <x:v>未核实</x:v>
      </x:c>
    </x:row>
    <x:row r="173" ht="27" customHeight="1">
      <x:c r="A173" s="5" t="str">
        <x:v>豆包</x:v>
      </x:c>
      <x:c r="B173" s="5" t="str">
        <x:v>Q5</x:v>
      </x:c>
      <x:c r="C173" s="5" t="str">
        <x:v>16. 瑞代 肠内营养乳剂(TPF-D) 500ml-小荷AI医生-药品说明书</x:v>
      </x:c>
      <x:c r="D173" s="5" t="str">
        <x:v>https://search.xiaohe.cn/drug/document?channel=doubao&amp;device_id=7690480443015431731&amp;drug_id=7436619890187887372&amp;enter_from_merge=medical_search_summary&amp;enter_position=medical_search&amp;entrance_form=doubao</x:v>
      </x:c>
      <x:c r="E173" s="5" t="str">
        <x:v>search.xiaohe.cn</x:v>
      </x:c>
      <x:c r="F173" s="5" t="str">
        <x:v>其他网页</x:v>
      </x:c>
      <x:c r="G173" s="5" t="str">
        <x:v>否</x:v>
      </x:c>
      <x:c r="H173" s="5" t="str"/>
      <x:c r="I173" s="5" t="str">
        <x:v>自然</x:v>
      </x:c>
      <x:c r="J173" s="5" t="str">
        <x:v>未核实</x:v>
      </x:c>
    </x:row>
    <x:row r="174" ht="27" customHeight="1">
      <x:c r="A174" s="5" t="str">
        <x:v>豆包</x:v>
      </x:c>
      <x:c r="B174" s="5" t="str">
        <x:v>Q6</x:v>
      </x:c>
      <x:c r="C174" s="5" t="str">
        <x:v>1. 蛋白粉≠万能补给，练后一勺，有人增肌，有人跑厕所，不是每个人都接得住！我来带你夏日养生#运动人怎么选好乳清蛋白#抖出健康知识宝藏#医疗健康创作训练营 #我在抖音轻养生#夏季养生小知识</x:v>
      </x:c>
      <x:c r="D174" s="5" t="str">
        <x:v>https://www.iesdouyin.com/share/video/7652678507961600497</x:v>
      </x:c>
      <x:c r="E174" s="5" t="str">
        <x:v>iesdouyin.com</x:v>
      </x:c>
      <x:c r="F174" s="5" t="str">
        <x:v>UGC/视频/公众号</x:v>
      </x:c>
      <x:c r="G174" s="5" t="str">
        <x:v>否</x:v>
      </x:c>
      <x:c r="H174" s="5" t="str"/>
      <x:c r="I174" s="5" t="str">
        <x:v>自然</x:v>
      </x:c>
      <x:c r="J174" s="5" t="str">
        <x:v>未核实</x:v>
      </x:c>
    </x:row>
    <x:row r="175" ht="27" customHeight="1">
      <x:c r="A175" s="5" t="str">
        <x:v>豆包</x:v>
      </x:c>
      <x:c r="B175" s="5" t="str">
        <x:v>Q6</x:v>
      </x:c>
      <x:c r="C175" s="5" t="str">
        <x:v>2. 除了乳清蛋白粉？ 我们还有什么选择？ #运动 #增肌 #蛋白粉 #运动补剂 #健身</x:v>
      </x:c>
      <x:c r="D175" s="5" t="str">
        <x:v>https://www.iesdouyin.com/share/video/7471628592317861154</x:v>
      </x:c>
      <x:c r="E175" s="5" t="str">
        <x:v>iesdouyin.com</x:v>
      </x:c>
      <x:c r="F175" s="5" t="str">
        <x:v>UGC/视频/公众号</x:v>
      </x:c>
      <x:c r="G175" s="5" t="str">
        <x:v>否</x:v>
      </x:c>
      <x:c r="H175" s="5" t="str"/>
      <x:c r="I175" s="5" t="str">
        <x:v>自然</x:v>
      </x:c>
      <x:c r="J175" s="5" t="str">
        <x:v>未核实</x:v>
      </x:c>
    </x:row>
    <x:row r="176" ht="27" customHeight="1">
      <x:c r="A176" s="5" t="str">
        <x:v>豆包</x:v>
      </x:c>
      <x:c r="B176" s="5" t="str">
        <x:v>Q6</x:v>
      </x:c>
      <x:c r="C176" s="5" t="str">
        <x:v>3. 肠胃不好，如何科学挑选蛋白粉？这些蛋白粉，你都吃过吗？选对了吗？欢迎留言#蛋白粉选择 #蛋白粉#肠胃</x:v>
      </x:c>
      <x:c r="D176" s="5" t="str">
        <x:v>https://www.iesdouyin.com/share/video/7604686922410512049</x:v>
      </x:c>
      <x:c r="E176" s="5" t="str">
        <x:v>iesdouyin.com</x:v>
      </x:c>
      <x:c r="F176" s="5" t="str">
        <x:v>UGC/视频/公众号</x:v>
      </x:c>
      <x:c r="G176" s="5" t="str">
        <x:v>否</x:v>
      </x:c>
      <x:c r="H176" s="5" t="str"/>
      <x:c r="I176" s="5" t="str">
        <x:v>自然</x:v>
      </x:c>
      <x:c r="J176" s="5" t="str">
        <x:v>未核实</x:v>
      </x:c>
    </x:row>
    <x:row r="177" ht="27" customHeight="1">
      <x:c r="A177" s="5" t="str">
        <x:v>豆包</x:v>
      </x:c>
      <x:c r="B177" s="5" t="str">
        <x:v>Q6</x:v>
      </x:c>
      <x:c r="C177" s="5" t="str">
        <x:v>4. 乳糖 不 耐受 喝 不了 乳清 的 ， 试试 这 款 概 特 水解 卵 清 蛋白粉 。 # 概 特 # 蛋白粉 # 卵 清 蛋白粉 # 补剂 # 健身</x:v>
      </x:c>
      <x:c r="D177" s="5" t="str">
        <x:v>https://www.iesdouyin.com/share/video/7671908247897624694</x:v>
      </x:c>
      <x:c r="E177" s="5" t="str">
        <x:v>iesdouyin.com</x:v>
      </x:c>
      <x:c r="F177" s="5" t="str">
        <x:v>UGC/视频/公众号</x:v>
      </x:c>
      <x:c r="G177" s="5" t="str">
        <x:v>否</x:v>
      </x:c>
      <x:c r="H177" s="5" t="str"/>
      <x:c r="I177" s="5" t="str">
        <x:v>自然</x:v>
      </x:c>
      <x:c r="J177" s="5" t="str">
        <x:v>未核实</x:v>
      </x:c>
    </x:row>
    <x:row r="178" ht="27" customHeight="1">
      <x:c r="A178" s="5" t="str">
        <x:v>豆包</x:v>
      </x:c>
      <x:c r="B178" s="5" t="str">
        <x:v>Q6</x:v>
      </x:c>
      <x:c r="C178" s="5" t="str">
        <x:v>5. 消化不好的人，蛋白粉千万别乱喝！。这条视频帮你避开雷区👇 🚫这3种蛋白粉，肠胃差的人慎选： 1️⃣ 大分子蛋白——难吸收，容易腹胀腹泻 2️⃣ 含乳糖的浓缩乳清——乳糖不耐受，越喝越伤 3️⃣ 代糖+</x:v>
      </x:c>
      <x:c r="D178" s="5" t="str">
        <x:v>https://www.iesdouyin.com/share/video/7622911937172606235</x:v>
      </x:c>
      <x:c r="E178" s="5" t="str">
        <x:v>iesdouyin.com</x:v>
      </x:c>
      <x:c r="F178" s="5" t="str">
        <x:v>UGC/视频/公众号</x:v>
      </x:c>
      <x:c r="G178" s="5" t="str">
        <x:v>否</x:v>
      </x:c>
      <x:c r="H178" s="5" t="str"/>
      <x:c r="I178" s="5" t="str">
        <x:v>自然</x:v>
      </x:c>
      <x:c r="J178" s="5" t="str">
        <x:v>未核实</x:v>
      </x:c>
    </x:row>
    <x:row r="179" ht="27" customHeight="1">
      <x:c r="A179" s="5" t="str">
        <x:v>豆包</x:v>
      </x:c>
      <x:c r="B179" s="5" t="str">
        <x:v>Q6</x:v>
      </x:c>
      <x:c r="C179" s="5" t="str">
        <x:v>6. 代替乳清蛋白 #万物即可种草搜</x:v>
      </x:c>
      <x:c r="D179" s="5" t="str">
        <x:v>https://www.iesdouyin.com/share/video/7554805154311195938</x:v>
      </x:c>
      <x:c r="E179" s="5" t="str">
        <x:v>iesdouyin.com</x:v>
      </x:c>
      <x:c r="F179" s="5" t="str">
        <x:v>UGC/视频/公众号</x:v>
      </x:c>
      <x:c r="G179" s="5" t="str">
        <x:v>否</x:v>
      </x:c>
      <x:c r="H179" s="5" t="str"/>
      <x:c r="I179" s="5" t="str">
        <x:v>自然</x:v>
      </x:c>
      <x:c r="J179" s="5" t="str">
        <x:v>未核实</x:v>
      </x:c>
    </x:row>
    <x:row r="180" ht="27" customHeight="1">
      <x:c r="A180" s="5" t="str">
        <x:v>豆包</x:v>
      </x:c>
      <x:c r="B180" s="5" t="str">
        <x:v>Q6</x:v>
      </x:c>
      <x:c r="C180" s="5" t="str">
        <x:v>7. Why Whey Protein Causes Bloating (And What Malaysians Should Use Instead) – FYLL</x:v>
      </x:c>
      <x:c r="D180" s="5" t="str">
        <x:v>https://fyll.club/blogs/guide/why-whey-protein-causes-bloating-malaysians</x:v>
      </x:c>
      <x:c r="E180" s="5" t="str">
        <x:v>fyll.club</x:v>
      </x:c>
      <x:c r="F180" s="5" t="str">
        <x:v>其他网页</x:v>
      </x:c>
      <x:c r="G180" s="5" t="str">
        <x:v>否</x:v>
      </x:c>
      <x:c r="H180" s="5" t="str"/>
      <x:c r="I180" s="5" t="str">
        <x:v>自然</x:v>
      </x:c>
      <x:c r="J180" s="5" t="str">
        <x:v>未核实</x:v>
      </x:c>
    </x:row>
    <x:row r="181" ht="27" customHeight="1">
      <x:c r="A181" s="5" t="str">
        <x:v>豆包</x:v>
      </x:c>
      <x:c r="B181" s="5" t="str">
        <x:v>Q6</x:v>
      </x:c>
      <x:c r="C181" s="5" t="str">
        <x:v>8. Whey vs Plant Protein for Indians: Which Wins | YourTrainer Blog</x:v>
      </x:c>
      <x:c r="D181" s="5" t="str">
        <x:v>https://www.yourtrainer.in/blog/whey-vs-plant-protein-india-lactose-brands</x:v>
      </x:c>
      <x:c r="E181" s="5" t="str">
        <x:v>yourtrainer.in</x:v>
      </x:c>
      <x:c r="F181" s="5" t="str">
        <x:v>其他网页</x:v>
      </x:c>
      <x:c r="G181" s="5" t="str">
        <x:v>否</x:v>
      </x:c>
      <x:c r="H181" s="5" t="str"/>
      <x:c r="I181" s="5" t="str">
        <x:v>自然</x:v>
      </x:c>
      <x:c r="J181" s="5" t="str">
        <x:v>未核实</x:v>
      </x:c>
    </x:row>
    <x:row r="182" ht="27" customHeight="1">
      <x:c r="A182" s="5" t="str">
        <x:v>豆包</x:v>
      </x:c>
      <x:c r="B182" s="5" t="str">
        <x:v>Q6</x:v>
      </x:c>
      <x:c r="C182" s="5" t="str">
        <x:v>9. Whey Protein Causing Bloating? Here Are Cleaner, Easy to Digest Protein Alternatives - Nutrabay Magazine</x:v>
      </x:c>
      <x:c r="D182" s="5" t="str">
        <x:v>https://nutrabay.com/magazine/whey-easy-to-digest-protein-alternatives</x:v>
      </x:c>
      <x:c r="E182" s="5" t="str">
        <x:v>nutrabay.com</x:v>
      </x:c>
      <x:c r="F182" s="5" t="str">
        <x:v>其他网页</x:v>
      </x:c>
      <x:c r="G182" s="5" t="str">
        <x:v>否</x:v>
      </x:c>
      <x:c r="H182" s="5" t="str"/>
      <x:c r="I182" s="5" t="str">
        <x:v>自然</x:v>
      </x:c>
      <x:c r="J182" s="5" t="str">
        <x:v>未核实</x:v>
      </x:c>
    </x:row>
    <x:row r="183" ht="27" customHeight="1">
      <x:c r="A183" s="5" t="str">
        <x:v>豆包</x:v>
      </x:c>
      <x:c r="B183" s="5" t="str">
        <x:v>Q6</x:v>
      </x:c>
      <x:c r="C183" s="5" t="str">
        <x:v>10. Whey vs Plant Protein: Amino Acids &amp; Digestion Compared | Ones</x:v>
      </x:c>
      <x:c r="D183" s="5" t="str">
        <x:v>https://ones.health/blog/whey-vs-plant-protein-amino-acids-digestion</x:v>
      </x:c>
      <x:c r="E183" s="5" t="str">
        <x:v>ones.health</x:v>
      </x:c>
      <x:c r="F183" s="5" t="str">
        <x:v>其他网页</x:v>
      </x:c>
      <x:c r="G183" s="5" t="str">
        <x:v>否</x:v>
      </x:c>
      <x:c r="H183" s="5" t="str"/>
      <x:c r="I183" s="5" t="str">
        <x:v>自然</x:v>
      </x:c>
      <x:c r="J183" s="5" t="str">
        <x:v>未核实</x:v>
      </x:c>
    </x:row>
    <x:row r="184" ht="27" customHeight="1">
      <x:c r="A184" s="5" t="str">
        <x:v>豆包</x:v>
      </x:c>
      <x:c r="B184" s="5" t="str">
        <x:v>Q6</x:v>
      </x:c>
      <x:c r="C184" s="5" t="str">
        <x:v>11. Best Protein For Bloating | Choosing Gentler Options</x:v>
      </x:c>
      <x:c r="D184" s="5" t="str">
        <x:v>https://proteinjug.com/best-protein-for-bloating/</x:v>
      </x:c>
      <x:c r="E184" s="5" t="str">
        <x:v>proteinjug.com</x:v>
      </x:c>
      <x:c r="F184" s="5" t="str">
        <x:v>其他网页</x:v>
      </x:c>
      <x:c r="G184" s="5" t="str">
        <x:v>否</x:v>
      </x:c>
      <x:c r="H184" s="5" t="str"/>
      <x:c r="I184" s="5" t="str">
        <x:v>自然</x:v>
      </x:c>
      <x:c r="J184" s="5" t="str">
        <x:v>未核实</x:v>
      </x:c>
    </x:row>
    <x:row r="185" ht="27" customHeight="1">
      <x:c r="A185" s="5" t="str">
        <x:v>豆包</x:v>
      </x:c>
      <x:c r="B185" s="5" t="str">
        <x:v>Q6</x:v>
      </x:c>
      <x:c r="C185" s="5" t="str">
        <x:v>12. Vegan Protein vs Whey 2026: Which Protein Powder is Better?</x:v>
      </x:c>
      <x:c r="D185" s="5" t="str">
        <x:v>https://formulacompare.com/blog/vegan-protein-vs-whey.html</x:v>
      </x:c>
      <x:c r="E185" s="5" t="str">
        <x:v>formulacompare.com</x:v>
      </x:c>
      <x:c r="F185" s="5" t="str">
        <x:v>其他网页</x:v>
      </x:c>
      <x:c r="G185" s="5" t="str">
        <x:v>否</x:v>
      </x:c>
      <x:c r="H185" s="5" t="str"/>
      <x:c r="I185" s="5" t="str">
        <x:v>自然</x:v>
      </x:c>
      <x:c r="J185" s="5" t="str">
        <x:v>未核实</x:v>
      </x:c>
    </x:row>
    <x:row r="186" ht="27" customHeight="1">
      <x:c r="A186" s="5" t="str">
        <x:v>豆包</x:v>
      </x:c>
      <x:c r="B186" s="5" t="str">
        <x:v>Q7</x:v>
      </x:c>
      <x:c r="C186" s="5" t="str">
        <x:v>1. 「蛋白粉排名」90%的新手都买错了，氨基酸、优缺点、价格 #健身 #蛋白粉 #增肌 #减肥</x:v>
      </x:c>
      <x:c r="D186" s="5" t="str">
        <x:v>https://www.iesdouyin.com/share/video/7567283283441093888</x:v>
      </x:c>
      <x:c r="E186" s="5" t="str">
        <x:v>iesdouyin.com</x:v>
      </x:c>
      <x:c r="F186" s="5" t="str">
        <x:v>UGC/视频/公众号</x:v>
      </x:c>
      <x:c r="G186" s="5" t="str">
        <x:v>否</x:v>
      </x:c>
      <x:c r="H186" s="5" t="str">
        <x:v>赛霸/小赛同学、京东京造、康比特、诺特兰德、紫光优健、Myprotein、ON/欧普特蒙</x:v>
      </x:c>
      <x:c r="I186" s="5" t="str">
        <x:v>自然</x:v>
      </x:c>
      <x:c r="J186" s="5" t="str">
        <x:v>未核实</x:v>
      </x:c>
    </x:row>
    <x:row r="187" ht="27" customHeight="1">
      <x:c r="A187" s="5" t="str">
        <x:v>豆包</x:v>
      </x:c>
      <x:c r="B187" s="5" t="str">
        <x:v>Q7</x:v>
      </x:c>
      <x:c r="C187" s="5" t="str">
        <x:v>2. 锐评我喝过的蛋白粉#蛋白粉推荐 #新手健身 #蛋白质 #新手健身知识</x:v>
      </x:c>
      <x:c r="D187" s="5" t="str">
        <x:v>https://www.iesdouyin.com/share/video/7680550358541024174</x:v>
      </x:c>
      <x:c r="E187" s="5" t="str">
        <x:v>iesdouyin.com</x:v>
      </x:c>
      <x:c r="F187" s="5" t="str">
        <x:v>UGC/视频/公众号</x:v>
      </x:c>
      <x:c r="G187" s="5" t="str">
        <x:v>否</x:v>
      </x:c>
      <x:c r="H187" s="5" t="str">
        <x:v>赛霸/小赛同学、京东京造、康比特、诺特兰德、紫光优健、Myprotein、ON/欧普特蒙</x:v>
      </x:c>
      <x:c r="I187" s="5" t="str">
        <x:v>自然</x:v>
      </x:c>
      <x:c r="J187" s="5" t="str">
        <x:v>未核实</x:v>
      </x:c>
    </x:row>
    <x:row r="188" ht="27" customHeight="1">
      <x:c r="A188" s="5" t="str">
        <x:v>豆包</x:v>
      </x:c>
      <x:c r="B188" s="5" t="str">
        <x:v>Q7</x:v>
      </x:c>
      <x:c r="C188" s="5" t="str">
        <x:v>3. 10分钟 教你如何正确的选择蛋白粉 #运动 #健身 #蛋白质#Foyes长效蛋白粉</x:v>
      </x:c>
      <x:c r="D188" s="5" t="str">
        <x:v>https://www.iesdouyin.com/share/video/7688218697520958760</x:v>
      </x:c>
      <x:c r="E188" s="5" t="str">
        <x:v>iesdouyin.com</x:v>
      </x:c>
      <x:c r="F188" s="5" t="str">
        <x:v>UGC/视频/公众号</x:v>
      </x:c>
      <x:c r="G188" s="5" t="str">
        <x:v>否</x:v>
      </x:c>
      <x:c r="H188" s="5" t="str">
        <x:v>赛霸/小赛同学、京东京造、康比特、诺特兰德、紫光优健、Myprotein、ON/欧普特蒙</x:v>
      </x:c>
      <x:c r="I188" s="5" t="str">
        <x:v>自然</x:v>
      </x:c>
      <x:c r="J188" s="5" t="str">
        <x:v>未核实</x:v>
      </x:c>
    </x:row>
    <x:row r="189" ht="27" customHeight="1">
      <x:c r="A189" s="5" t="str">
        <x:v>豆包</x:v>
      </x:c>
      <x:c r="B189" s="5" t="str">
        <x:v>Q7</x:v>
      </x:c>
      <x:c r="C189" s="5" t="str">
        <x:v>4. 新手 健身 改 如何 选择 健身 补剂 ， 什么 补剂 值得 选 ， 什么 没 必要 去 买 # 健身 # 健身 补剂</x:v>
      </x:c>
      <x:c r="D189" s="5" t="str">
        <x:v>https://www.iesdouyin.com/share/video/7626316634679954688</x:v>
      </x:c>
      <x:c r="E189" s="5" t="str">
        <x:v>iesdouyin.com</x:v>
      </x:c>
      <x:c r="F189" s="5" t="str">
        <x:v>UGC/视频/公众号</x:v>
      </x:c>
      <x:c r="G189" s="5" t="str">
        <x:v>否</x:v>
      </x:c>
      <x:c r="H189" s="5" t="str">
        <x:v>赛霸/小赛同学、京东京造、康比特、诺特兰德、紫光优健、Myprotein、ON/欧普特蒙</x:v>
      </x:c>
      <x:c r="I189" s="5" t="str">
        <x:v>自然</x:v>
      </x:c>
      <x:c r="J189" s="5" t="str">
        <x:v>未核实</x:v>
      </x:c>
    </x:row>
    <x:row r="190" ht="27" customHeight="1">
      <x:c r="A190" s="5" t="str">
        <x:v>豆包</x:v>
      </x:c>
      <x:c r="B190" s="5" t="str">
        <x:v>Q7</x:v>
      </x:c>
      <x:c r="C190" s="5" t="str">
        <x:v>5. 蛋白粉暴涨70%！12款蛋白粉推荐，谁才是真正的性价比之王？ 真是万万没想到，这些年什么都跌，唯独咱们刚需的蛋白粉涨上了天！看着从448涨到768的同款，我决定必须做一期视频，帮大家探探路。这次的12</x:v>
      </x:c>
      <x:c r="D190" s="5" t="str">
        <x:v>https://www.iesdouyin.com/share/video/7689761448104381723</x:v>
      </x:c>
      <x:c r="E190" s="5" t="str">
        <x:v>iesdouyin.com</x:v>
      </x:c>
      <x:c r="F190" s="5" t="str">
        <x:v>UGC/视频/公众号</x:v>
      </x:c>
      <x:c r="G190" s="5" t="str">
        <x:v>否</x:v>
      </x:c>
      <x:c r="H190" s="5" t="str">
        <x:v>赛霸/小赛同学、京东京造、康比特、诺特兰德、紫光优健、Myprotein、ON/欧普特蒙</x:v>
      </x:c>
      <x:c r="I190" s="5" t="str">
        <x:v>自然</x:v>
      </x:c>
      <x:c r="J190" s="5" t="str">
        <x:v>未核实</x:v>
      </x:c>
    </x:row>
    <x:row r="191" ht="27" customHeight="1">
      <x:c r="A191" s="5" t="str">
        <x:v>豆包</x:v>
      </x:c>
      <x:c r="B191" s="5" t="str">
        <x:v>Q7</x:v>
      </x:c>
      <x:c r="C191" s="5" t="str">
        <x:v>6. 蛋白粉这个东西买对不买贵，新手不知道怎么选蛋白粉的可以看看！一条视频把蛋白粉的类型讲明白，让大家挑选到适合自己的蛋白粉！#健身补剂 #蛋白粉推荐 #蛋白粉 #健身干货 #蛋白粉测评</x:v>
      </x:c>
      <x:c r="D191" s="5" t="str">
        <x:v>https://www.iesdouyin.com/share/video/7673154785730497189</x:v>
      </x:c>
      <x:c r="E191" s="5" t="str">
        <x:v>iesdouyin.com</x:v>
      </x:c>
      <x:c r="F191" s="5" t="str">
        <x:v>UGC/视频/公众号</x:v>
      </x:c>
      <x:c r="G191" s="5" t="str">
        <x:v>否</x:v>
      </x:c>
      <x:c r="H191" s="5" t="str">
        <x:v>赛霸/小赛同学、京东京造、康比特、诺特兰德、紫光优健、Myprotein、ON/欧普特蒙</x:v>
      </x:c>
      <x:c r="I191" s="5" t="str">
        <x:v>自然</x:v>
      </x:c>
      <x:c r="J191" s="5" t="str">
        <x:v>未核实</x:v>
      </x:c>
    </x:row>
    <x:row r="192" ht="27" customHeight="1">
      <x:c r="A192" s="5" t="str">
        <x:v>豆包</x:v>
      </x:c>
      <x:c r="B192" s="5" t="str">
        <x:v>Q7</x:v>
      </x:c>
      <x:c r="C192" s="5" t="str">
        <x:v>7. 明报 : 健康 生活 【 大 只 奶粉 】 拆解 蛋白粉 成分 、 类型 要 增 肌 蛋白 - 深水埗 地区 康健 中心</x:v>
      </x:c>
      <x:c r="D192" s="5" t="str">
        <x:v>https://www.sspdhc.org.hk/activity/healthInfo-details/18</x:v>
      </x:c>
      <x:c r="E192" s="5" t="str">
        <x:v>sspdhc.org.hk</x:v>
      </x:c>
      <x:c r="F192" s="5" t="str">
        <x:v>其他网页</x:v>
      </x:c>
      <x:c r="G192" s="5" t="str">
        <x:v>否</x:v>
      </x:c>
      <x:c r="H192" s="5" t="str">
        <x:v>赛霸/小赛同学、京东京造、康比特、诺特兰德、紫光优健、Myprotein、ON/欧普特蒙</x:v>
      </x:c>
      <x:c r="I192" s="5" t="str">
        <x:v>自然</x:v>
      </x:c>
      <x:c r="J192" s="5" t="str">
        <x:v>未核实</x:v>
      </x:c>
    </x:row>
    <x:row r="193" ht="27" customHeight="1">
      <x:c r="A193" s="5" t="str">
        <x:v>豆包</x:v>
      </x:c>
      <x:c r="B193" s="5" t="str">
        <x:v>Q7</x:v>
      </x:c>
      <x:c r="C193" s="5" t="str">
        <x:v>8. ✨ 常见 蛋白粉 详解 新手 直接 闭眼 抄 作业 # 健身 # 蛋白粉 # 健身 新手 # 蛋白粉 选购 指南 # 力量 训练</x:v>
      </x:c>
      <x:c r="D193" s="5" t="str">
        <x:v>https://www.iesdouyin.com/share/video/7636504581416979747</x:v>
      </x:c>
      <x:c r="E193" s="5" t="str">
        <x:v>iesdouyin.com</x:v>
      </x:c>
      <x:c r="F193" s="5" t="str">
        <x:v>UGC/视频/公众号</x:v>
      </x:c>
      <x:c r="G193" s="5" t="str">
        <x:v>否</x:v>
      </x:c>
      <x:c r="H193" s="5" t="str">
        <x:v>赛霸/小赛同学、京东京造、康比特、诺特兰德、紫光优健、Myprotein、ON/欧普特蒙</x:v>
      </x:c>
      <x:c r="I193" s="5" t="str">
        <x:v>自然</x:v>
      </x:c>
      <x:c r="J193" s="5" t="str">
        <x:v>未核实</x:v>
      </x:c>
    </x:row>
    <x:row r="194" ht="27" customHeight="1">
      <x:c r="A194" s="5" t="str">
        <x:v>豆包</x:v>
      </x:c>
      <x:c r="B194" s="5" t="str">
        <x:v>Q7</x:v>
      </x:c>
      <x:c r="C194" s="5" t="str">
        <x:v>9. Whey vs Casein vs Isolate: Which Protein Powder Is Best? UK Guide</x:v>
      </x:c>
      <x:c r="D194" s="5" t="str">
        <x:v>https://iwant2be.co.uk/2026/06/25/blog-whey-vs-casein-vs-isolate-which-protein-powder/</x:v>
      </x:c>
      <x:c r="E194" s="5" t="str">
        <x:v>iwant2be.co.uk</x:v>
      </x:c>
      <x:c r="F194" s="5" t="str">
        <x:v>其他网页</x:v>
      </x:c>
      <x:c r="G194" s="5" t="str">
        <x:v>否</x:v>
      </x:c>
      <x:c r="H194" s="5" t="str">
        <x:v>赛霸/小赛同学、京东京造、康比特、诺特兰德、紫光优健、Myprotein、ON/欧普特蒙</x:v>
      </x:c>
      <x:c r="I194" s="5" t="str">
        <x:v>自然</x:v>
      </x:c>
      <x:c r="J194" s="5" t="str">
        <x:v>未核实</x:v>
      </x:c>
    </x:row>
    <x:row r="195" ht="27" customHeight="1">
      <x:c r="A195" s="5" t="str">
        <x:v>豆包</x:v>
      </x:c>
      <x:c r="B195" s="5" t="str">
        <x:v>Q7</x:v>
      </x:c>
      <x:c r="C195" s="5" t="str">
        <x:v>10. Best Protein Powder 2026: Whey vs Casein vs Plant + Safety</x:v>
      </x:c>
      <x:c r="D195" s="5" t="str">
        <x:v>https://calorique.io/blog/protein-powder-guide/</x:v>
      </x:c>
      <x:c r="E195" s="5" t="str">
        <x:v>calorique.io</x:v>
      </x:c>
      <x:c r="F195" s="5" t="str">
        <x:v>其他网页</x:v>
      </x:c>
      <x:c r="G195" s="5" t="str">
        <x:v>否</x:v>
      </x:c>
      <x:c r="H195" s="5" t="str">
        <x:v>赛霸/小赛同学、京东京造、康比特、诺特兰德、紫光优健、Myprotein、ON/欧普特蒙</x:v>
      </x:c>
      <x:c r="I195" s="5" t="str">
        <x:v>自然</x:v>
      </x:c>
      <x:c r="J195" s="5" t="str">
        <x:v>未核实</x:v>
      </x:c>
    </x:row>
    <x:row r="196" ht="27" customHeight="1">
      <x:c r="A196" s="5" t="str">
        <x:v>豆包</x:v>
      </x:c>
      <x:c r="B196" s="5" t="str">
        <x:v>Q7</x:v>
      </x:c>
      <x:c r="C196" s="5" t="str">
        <x:v>11. proteine del latte differenze whey caseina</x:v>
      </x:c>
      <x:c r="D196" s="5" t="str">
        <x:v>https://www.farmaciaintroini.it/2026/06/19/whey-caseina-isolate-o-concentrate-la-guida-definitiva-alle-proteine-del-latte/</x:v>
      </x:c>
      <x:c r="E196" s="5" t="str">
        <x:v>farmaciaintroini.it</x:v>
      </x:c>
      <x:c r="F196" s="5" t="str">
        <x:v>其他网页</x:v>
      </x:c>
      <x:c r="G196" s="5" t="str">
        <x:v>否</x:v>
      </x:c>
      <x:c r="H196" s="5" t="str">
        <x:v>赛霸/小赛同学、京东京造、康比特、诺特兰德、紫光优健、Myprotein、ON/欧普特蒙</x:v>
      </x:c>
      <x:c r="I196" s="5" t="str">
        <x:v>自然</x:v>
      </x:c>
      <x:c r="J196" s="5" t="str">
        <x:v>未核实</x:v>
      </x:c>
    </x:row>
    <x:row r="197" ht="27" customHeight="1">
      <x:c r="A197" s="5" t="str">
        <x:v>豆包</x:v>
      </x:c>
      <x:c r="B197" s="5" t="str">
        <x:v>Q7</x:v>
      </x:c>
      <x:c r="C197" s="5" t="str">
        <x:v>12. 【 赵倩玉 】 如何 合理 选择 蛋白粉 ?</x:v>
      </x:c>
      <x:c r="D197" s="5" t="str">
        <x:v>https://c.m.163.com/news/a/KBB5NPQG0514AUNL.html</x:v>
      </x:c>
      <x:c r="E197" s="5" t="str">
        <x:v>c.m.163.com</x:v>
      </x:c>
      <x:c r="F197" s="5" t="str">
        <x:v>综合媒体/转载</x:v>
      </x:c>
      <x:c r="G197" s="5" t="str">
        <x:v>否</x:v>
      </x:c>
      <x:c r="H197" s="5" t="str">
        <x:v>赛霸/小赛同学、京东京造、康比特、诺特兰德、紫光优健、Myprotein、ON/欧普特蒙</x:v>
      </x:c>
      <x:c r="I197" s="5" t="str">
        <x:v>自然</x:v>
      </x:c>
      <x:c r="J197" s="5" t="str">
        <x:v>未核实</x:v>
      </x:c>
    </x:row>
    <x:row r="198" ht="27" customHeight="1">
      <x:c r="A198" s="5" t="str">
        <x:v>豆包</x:v>
      </x:c>
      <x:c r="B198" s="5" t="str">
        <x:v>Q8</x:v>
      </x:c>
      <x:c r="C198" s="5" t="str">
        <x:v>1. 挑战一分钟讲明白7大蛋白粉种类，健身想增肌，蛋白粉应该怎么选？#补剂 #蛋白粉 #健身干货 #肌肉</x:v>
      </x:c>
      <x:c r="D198" s="5" t="str">
        <x:v>https://www.iesdouyin.com/share/video/7581900093691874598</x:v>
      </x:c>
      <x:c r="E198" s="5" t="str">
        <x:v>iesdouyin.com</x:v>
      </x:c>
      <x:c r="F198" s="5" t="str">
        <x:v>UGC/视频/公众号</x:v>
      </x:c>
      <x:c r="G198" s="5" t="str">
        <x:v>否</x:v>
      </x:c>
      <x:c r="H198" s="5" t="str">
        <x:v>康比特、ON/欧普特蒙</x:v>
      </x:c>
      <x:c r="I198" s="5" t="str">
        <x:v>自然</x:v>
      </x:c>
      <x:c r="J198" s="5" t="str">
        <x:v>未核实</x:v>
      </x:c>
    </x:row>
    <x:row r="199" ht="27" customHeight="1">
      <x:c r="A199" s="5" t="str">
        <x:v>豆包</x:v>
      </x:c>
      <x:c r="B199" s="5" t="str">
        <x:v>Q8</x:v>
      </x:c>
      <x:c r="C199" s="5" t="str">
        <x:v>2. 「蛋白粉排名」90%的新手都买错了，氨基酸、优缺点、价格 #健身 #蛋白粉 #增肌 #减肥</x:v>
      </x:c>
      <x:c r="D199" s="5" t="str">
        <x:v>https://www.iesdouyin.com/share/video/7567283283441093888</x:v>
      </x:c>
      <x:c r="E199" s="5" t="str">
        <x:v>iesdouyin.com</x:v>
      </x:c>
      <x:c r="F199" s="5" t="str">
        <x:v>UGC/视频/公众号</x:v>
      </x:c>
      <x:c r="G199" s="5" t="str">
        <x:v>否</x:v>
      </x:c>
      <x:c r="H199" s="5" t="str">
        <x:v>康比特、ON/欧普特蒙</x:v>
      </x:c>
      <x:c r="I199" s="5" t="str">
        <x:v>自然</x:v>
      </x:c>
      <x:c r="J199" s="5" t="str">
        <x:v>未核实</x:v>
      </x:c>
    </x:row>
    <x:row r="200" ht="27" customHeight="1">
      <x:c r="A200" s="5" t="str">
        <x:v>豆包</x:v>
      </x:c>
      <x:c r="B200" s="5" t="str">
        <x:v>Q8</x:v>
      </x:c>
      <x:c r="C200" s="5" t="str">
        <x:v>3. 新手 健身 改 如何 选择 健身 补剂 ， 什么 补剂 值得 选 ， 什么 没 必要 去 买 # 健身 # 健身 补剂</x:v>
      </x:c>
      <x:c r="D200" s="5" t="str">
        <x:v>https://www.iesdouyin.com/share/video/7626316634679954688</x:v>
      </x:c>
      <x:c r="E200" s="5" t="str">
        <x:v>iesdouyin.com</x:v>
      </x:c>
      <x:c r="F200" s="5" t="str">
        <x:v>UGC/视频/公众号</x:v>
      </x:c>
      <x:c r="G200" s="5" t="str">
        <x:v>否</x:v>
      </x:c>
      <x:c r="H200" s="5" t="str">
        <x:v>康比特、ON/欧普特蒙</x:v>
      </x:c>
      <x:c r="I200" s="5" t="str">
        <x:v>自然</x:v>
      </x:c>
      <x:c r="J200" s="5" t="str">
        <x:v>未核实</x:v>
      </x:c>
    </x:row>
    <x:row r="201" ht="27" customHeight="1">
      <x:c r="A201" s="5" t="str">
        <x:v>豆包</x:v>
      </x:c>
      <x:c r="B201" s="5" t="str">
        <x:v>Q8</x:v>
      </x:c>
      <x:c r="C201" s="5" t="str">
        <x:v>4. 新手 怎么 选 蛋白粉 ？ 保姆 级 攻略 来了 ！ 全 年龄段 不同 人群 的 蛋白粉 选择 攻略 ， 一条 视频 讲 清楚 ！ # 蛋白粉 # 中老年 蛋白质 粉 # 蛋白质 粉 # 营养 补剂 # 运动 补剂</x:v>
      </x:c>
      <x:c r="D201" s="5" t="str">
        <x:v>https://www.iesdouyin.com/share/video/7586571460421422372</x:v>
      </x:c>
      <x:c r="E201" s="5" t="str">
        <x:v>iesdouyin.com</x:v>
      </x:c>
      <x:c r="F201" s="5" t="str">
        <x:v>UGC/视频/公众号</x:v>
      </x:c>
      <x:c r="G201" s="5" t="str">
        <x:v>否</x:v>
      </x:c>
      <x:c r="H201" s="5" t="str">
        <x:v>康比特、ON/欧普特蒙</x:v>
      </x:c>
      <x:c r="I201" s="5" t="str">
        <x:v>自然</x:v>
      </x:c>
      <x:c r="J201" s="5" t="str">
        <x:v>未核实</x:v>
      </x:c>
    </x:row>
    <x:row r="202" ht="27" customHeight="1">
      <x:c r="A202" s="5" t="str">
        <x:v>豆包</x:v>
      </x:c>
      <x:c r="B202" s="5" t="str">
        <x:v>Q8</x:v>
      </x:c>
      <x:c r="C202" s="5" t="str">
        <x:v>5. 别再问哪个好，关键是谁更能长肌肉（4种蛋白粉对比） #健身 #蛋白粉 #肌肉 #增肌 #烧毁一切就是美</x:v>
      </x:c>
      <x:c r="D202" s="5" t="str">
        <x:v>https://www.iesdouyin.com/share/video/7626008363734352497</x:v>
      </x:c>
      <x:c r="E202" s="5" t="str">
        <x:v>iesdouyin.com</x:v>
      </x:c>
      <x:c r="F202" s="5" t="str">
        <x:v>UGC/视频/公众号</x:v>
      </x:c>
      <x:c r="G202" s="5" t="str">
        <x:v>否</x:v>
      </x:c>
      <x:c r="H202" s="5" t="str">
        <x:v>康比特、ON/欧普特蒙</x:v>
      </x:c>
      <x:c r="I202" s="5" t="str">
        <x:v>自然</x:v>
      </x:c>
      <x:c r="J202" s="5" t="str">
        <x:v>未核实</x:v>
      </x:c>
    </x:row>
    <x:row r="203" ht="27" customHeight="1">
      <x:c r="A203" s="5" t="str">
        <x:v>豆包</x:v>
      </x:c>
      <x:c r="B203" s="5" t="str">
        <x:v>Q8</x:v>
      </x:c>
      <x:c r="C203" s="5" t="str">
        <x:v>6. 增 肌 一定 要 喝 蛋白粉 吗 ❓ ⚠ ️ 蛋白粉 的 真相 * 本质 ： 从 牛奶 中 提取 的 乳清 蛋白 ， 浓缩 / 分离 / 水解 * 3 种 类型 ： 浓缩 乳清 （ WPC ） + 分离 乳清 （ WPI ） + 水解 乳清 （ WPH ） * 1 勺 ≈ 20 - 25g 蛋白 （ 相当 于 3 - 4 个 鸡蛋 ） 3 类人 分析 * 类型 1 ： 需要 吃</x:v>
      </x:c>
      <x:c r="D203" s="5" t="str">
        <x:v>https://www.iesdouyin.com/share/video/7680770039281137590</x:v>
      </x:c>
      <x:c r="E203" s="5" t="str">
        <x:v>iesdouyin.com</x:v>
      </x:c>
      <x:c r="F203" s="5" t="str">
        <x:v>UGC/视频/公众号</x:v>
      </x:c>
      <x:c r="G203" s="5" t="str">
        <x:v>否</x:v>
      </x:c>
      <x:c r="H203" s="5" t="str">
        <x:v>康比特、ON/欧普特蒙</x:v>
      </x:c>
      <x:c r="I203" s="5" t="str">
        <x:v>自然</x:v>
      </x:c>
      <x:c r="J203" s="5" t="str">
        <x:v>未核实</x:v>
      </x:c>
    </x:row>
    <x:row r="204" ht="27" customHeight="1">
      <x:c r="A204" s="5" t="str">
        <x:v>豆包</x:v>
      </x:c>
      <x:c r="B204" s="5" t="str">
        <x:v>Q8</x:v>
      </x:c>
      <x:c r="C204" s="5" t="str">
        <x:v>7. 蛋白粉价格统计。蛋白粉统计，只看价格和蛋白质含量，无广。欢迎各路大佬避雷#健身#蛋白粉</x:v>
      </x:c>
      <x:c r="D204" s="5" t="str">
        <x:v>https://www.iesdouyin.com/share/video/7368352449242959114</x:v>
      </x:c>
      <x:c r="E204" s="5" t="str">
        <x:v>iesdouyin.com</x:v>
      </x:c>
      <x:c r="F204" s="5" t="str">
        <x:v>UGC/视频/公众号</x:v>
      </x:c>
      <x:c r="G204" s="5" t="str">
        <x:v>否</x:v>
      </x:c>
      <x:c r="H204" s="5" t="str">
        <x:v>康比特、ON/欧普特蒙</x:v>
      </x:c>
      <x:c r="I204" s="5" t="str">
        <x:v>自然</x:v>
      </x:c>
      <x:c r="J204" s="5" t="str">
        <x:v>未核实</x:v>
      </x:c>
    </x:row>
    <x:row r="205" ht="27" customHeight="1">
      <x:c r="A205" s="5" t="str">
        <x:v>豆包</x:v>
      </x:c>
      <x:c r="B205" s="5" t="str">
        <x:v>Q8</x:v>
      </x:c>
      <x:c r="C205" s="5" t="str">
        <x:v>8. 还分不清各种蛋白粉？不知道蛋白粉怎么选？一张图片告诉你！ ALLMAX酪蛋白饱腹感强，营养缓慢释放，适合减脂期控制饮食和消化功能较弱的人群！👊🏻 ALLMAX金标乳清，浓缩加分离双重蛋白原！75%蛋白</x:v>
      </x:c>
      <x:c r="D205" s="5" t="str">
        <x:v>https://www.iesdouyin.com/share/video/7628798551992530097</x:v>
      </x:c>
      <x:c r="E205" s="5" t="str">
        <x:v>iesdouyin.com</x:v>
      </x:c>
      <x:c r="F205" s="5" t="str">
        <x:v>UGC/视频/公众号</x:v>
      </x:c>
      <x:c r="G205" s="5" t="str">
        <x:v>否</x:v>
      </x:c>
      <x:c r="H205" s="5" t="str">
        <x:v>康比特、ON/欧普特蒙</x:v>
      </x:c>
      <x:c r="I205" s="5" t="str">
        <x:v>自然</x:v>
      </x:c>
      <x:c r="J205" s="5" t="str">
        <x:v>未核实</x:v>
      </x:c>
    </x:row>
    <x:row r="206" ht="27" customHeight="1">
      <x:c r="A206" s="5" t="str">
        <x:v>豆包</x:v>
      </x:c>
      <x:c r="B206" s="5" t="str">
        <x:v>Q8</x:v>
      </x:c>
      <x:c r="C206" s="5" t="str">
        <x:v>9. 浓缩、分离、水解、酪，怎么选？ #知识分享 #干货 #蛋白粉 #健身 #增肌</x:v>
      </x:c>
      <x:c r="D206" s="5" t="str">
        <x:v>https://www.iesdouyin.com/share/video/7573995525675027718</x:v>
      </x:c>
      <x:c r="E206" s="5" t="str">
        <x:v>iesdouyin.com</x:v>
      </x:c>
      <x:c r="F206" s="5" t="str">
        <x:v>UGC/视频/公众号</x:v>
      </x:c>
      <x:c r="G206" s="5" t="str">
        <x:v>否</x:v>
      </x:c>
      <x:c r="H206" s="5" t="str">
        <x:v>康比特、ON/欧普特蒙</x:v>
      </x:c>
      <x:c r="I206" s="5" t="str">
        <x:v>自然</x:v>
      </x:c>
      <x:c r="J206" s="5" t="str">
        <x:v>未核实</x:v>
      </x:c>
    </x:row>
    <x:row r="207" ht="27" customHeight="1">
      <x:c r="A207" s="5" t="str">
        <x:v>豆包</x:v>
      </x:c>
      <x:c r="B207" s="5" t="str">
        <x:v>Q8</x:v>
      </x:c>
      <x:c r="C207" s="5" t="str">
        <x:v>10. 目前市面上主流的蛋白粉就三种，要记住含量75%以上的才能叫做蛋白粉。TB上有一种含量百分之25%，叫增肌粉，效果和一碗大米饭相当，一定要看仔细了！ 蛋白粉的种类： [飞盘R]乳清蛋白粉适合健身人群，吸</x:v>
      </x:c>
      <x:c r="D207" s="5" t="str">
        <x:v>https://www.iesdouyin.com/share/video/7640264149096549491</x:v>
      </x:c>
      <x:c r="E207" s="5" t="str">
        <x:v>iesdouyin.com</x:v>
      </x:c>
      <x:c r="F207" s="5" t="str">
        <x:v>UGC/视频/公众号</x:v>
      </x:c>
      <x:c r="G207" s="5" t="str">
        <x:v>否</x:v>
      </x:c>
      <x:c r="H207" s="5" t="str">
        <x:v>康比特、ON/欧普特蒙</x:v>
      </x:c>
      <x:c r="I207" s="5" t="str">
        <x:v>自然</x:v>
      </x:c>
      <x:c r="J207" s="5" t="str">
        <x:v>未核实</x:v>
      </x:c>
    </x:row>
    <x:row r="208" ht="27" customHeight="1">
      <x:c r="A208" s="5" t="str">
        <x:v>豆包</x:v>
      </x:c>
      <x:c r="B208" s="5" t="str">
        <x:v>Q8</x:v>
      </x:c>
      <x:c r="C208" s="5" t="str">
        <x:v>11. 蛋白粉大致种类。现在市面上的蛋白粉五花八门，什么三重四重五重六重的，搞得大家都比较乱，很多兄弟们不太了解。在这里我简单的做一个分类，大家可以参考一下。#蛋白粉 #多重矩阵#水解#分离#浓缩</x:v>
      </x:c>
      <x:c r="D208" s="5" t="str">
        <x:v>https://www.iesdouyin.com/share/video/7618008602519160169</x:v>
      </x:c>
      <x:c r="E208" s="5" t="str">
        <x:v>iesdouyin.com</x:v>
      </x:c>
      <x:c r="F208" s="5" t="str">
        <x:v>UGC/视频/公众号</x:v>
      </x:c>
      <x:c r="G208" s="5" t="str">
        <x:v>否</x:v>
      </x:c>
      <x:c r="H208" s="5" t="str">
        <x:v>康比特、ON/欧普特蒙</x:v>
      </x:c>
      <x:c r="I208" s="5" t="str">
        <x:v>自然</x:v>
      </x:c>
      <x:c r="J208" s="5" t="str">
        <x:v>未核实</x:v>
      </x:c>
    </x:row>
    <x:row r="209" ht="27" customHeight="1">
      <x:c r="A209" s="5" t="str">
        <x:v>豆包</x:v>
      </x:c>
      <x:c r="B209" s="5" t="str">
        <x:v>Q9</x:v>
      </x:c>
      <x:c r="C209" s="5" t="str">
        <x:v>1. 9月份蛋白粉推荐 A57:9月份蛋白粉推荐。很多之前推荐的蛋白粉要么涨价了，要么断货了，所以就出了这份9月份蛋白粉推荐，那你现在喝的是什么蛋白粉呢？#蛋白粉 #蛋白粉推荐 #蛋白粉测评 #酵母蛋白 #</x:v>
      </x:c>
      <x:c r="D209" s="5" t="str">
        <x:v>https://www.iesdouyin.com/share/video/7681888051950356465</x:v>
      </x:c>
      <x:c r="E209" s="5" t="str">
        <x:v>iesdouyin.com</x:v>
      </x:c>
      <x:c r="F209" s="5" t="str">
        <x:v>UGC/视频/公众号</x:v>
      </x:c>
      <x:c r="G209" s="5" t="str">
        <x:v>否</x:v>
      </x:c>
      <x:c r="H209" s="5" t="str">
        <x:v>赛霸/小赛同学、概特/盖特、米当卡、ALLKEEP、康恩贝</x:v>
      </x:c>
      <x:c r="I209" s="5" t="str">
        <x:v>自然</x:v>
      </x:c>
      <x:c r="J209" s="5" t="str">
        <x:v>未核实</x:v>
      </x:c>
    </x:row>
    <x:row r="210" ht="27" customHeight="1">
      <x:c r="A210" s="5" t="str">
        <x:v>豆包</x:v>
      </x:c>
      <x:c r="B210" s="5" t="str">
        <x:v>Q9</x:v>
      </x:c>
      <x:c r="C210" s="5" t="str">
        <x:v>2. 酵母蛋白个人分享。我前前后后喝过不少酵母蛋白，刷了好多券之后入手价格特别划算。提醒下大家别买五磅装的，量大很容易喝腻，最后剩大半罐好浪费。</x:v>
      </x:c>
      <x:c r="D210" s="5" t="str">
        <x:v>https://www.iesdouyin.com/share/video/7683738591008617062</x:v>
      </x:c>
      <x:c r="E210" s="5" t="str">
        <x:v>iesdouyin.com</x:v>
      </x:c>
      <x:c r="F210" s="5" t="str">
        <x:v>UGC/视频/公众号</x:v>
      </x:c>
      <x:c r="G210" s="5" t="str">
        <x:v>否</x:v>
      </x:c>
      <x:c r="H210" s="5" t="str">
        <x:v>赛霸/小赛同学、概特/盖特、米当卡、ALLKEEP、康恩贝</x:v>
      </x:c>
      <x:c r="I210" s="5" t="str">
        <x:v>自然</x:v>
      </x:c>
      <x:c r="J210" s="5" t="str">
        <x:v>未核实</x:v>
      </x:c>
    </x:row>
    <x:row r="211" ht="27" customHeight="1">
      <x:c r="A211" s="5" t="str">
        <x:v>豆包</x:v>
      </x:c>
      <x:c r="B211" s="5" t="str">
        <x:v>Q9</x:v>
      </x:c>
      <x:c r="C211" s="5" t="str">
        <x:v>3. 遇到好价就忍不住囤货#酵母蛋白粉 #蛋白粉价格</x:v>
      </x:c>
      <x:c r="D211" s="5" t="str">
        <x:v>https://www.iesdouyin.com/share/video/7688599387844454890</x:v>
      </x:c>
      <x:c r="E211" s="5" t="str">
        <x:v>iesdouyin.com</x:v>
      </x:c>
      <x:c r="F211" s="5" t="str">
        <x:v>UGC/视频/公众号</x:v>
      </x:c>
      <x:c r="G211" s="5" t="str">
        <x:v>否</x:v>
      </x:c>
      <x:c r="H211" s="5" t="str">
        <x:v>赛霸/小赛同学、概特/盖特、米当卡、ALLKEEP、康恩贝</x:v>
      </x:c>
      <x:c r="I211" s="5" t="str">
        <x:v>自然</x:v>
      </x:c>
      <x:c r="J211" s="5" t="str">
        <x:v>未核实</x:v>
      </x:c>
    </x:row>
    <x:row r="212" ht="27" customHeight="1">
      <x:c r="A212" s="5" t="str">
        <x:v>豆包</x:v>
      </x:c>
      <x:c r="B212" s="5" t="str">
        <x:v>Q9</x:v>
      </x:c>
      <x:c r="C212" s="5" t="str">
        <x:v>4. 这个价格怎么样？#蛋白粉推荐 #酵母蛋白 #蛋白粉</x:v>
      </x:c>
      <x:c r="D212" s="5" t="str">
        <x:v>https://www.iesdouyin.com/share/video/7663744412631231666</x:v>
      </x:c>
      <x:c r="E212" s="5" t="str">
        <x:v>iesdouyin.com</x:v>
      </x:c>
      <x:c r="F212" s="5" t="str">
        <x:v>UGC/视频/公众号</x:v>
      </x:c>
      <x:c r="G212" s="5" t="str">
        <x:v>否</x:v>
      </x:c>
      <x:c r="H212" s="5" t="str">
        <x:v>赛霸/小赛同学、概特/盖特、米当卡、ALLKEEP、康恩贝</x:v>
      </x:c>
      <x:c r="I212" s="5" t="str">
        <x:v>自然</x:v>
      </x:c>
      <x:c r="J212" s="5" t="str">
        <x:v>未核实</x:v>
      </x:c>
    </x:row>
    <x:row r="213" ht="27" customHeight="1">
      <x:c r="A213" s="5" t="str">
        <x:v>豆包</x:v>
      </x:c>
      <x:c r="B213" s="5" t="str">
        <x:v>Q9</x:v>
      </x:c>
      <x:c r="C213" s="5" t="str">
        <x:v>5. 蛋白粉推荐 四个价位从低到高，不含广告，总有一款适合你#酵母蛋白 #乳清蛋白 #蛋白粉推荐#米当卡酵母蛋白粉</x:v>
      </x:c>
      <x:c r="D213" s="5" t="str">
        <x:v>https://www.iesdouyin.com/share/video/7652575831549562122</x:v>
      </x:c>
      <x:c r="E213" s="5" t="str">
        <x:v>iesdouyin.com</x:v>
      </x:c>
      <x:c r="F213" s="5" t="str">
        <x:v>UGC/视频/公众号</x:v>
      </x:c>
      <x:c r="G213" s="5" t="str">
        <x:v>否</x:v>
      </x:c>
      <x:c r="H213" s="5" t="str">
        <x:v>赛霸/小赛同学、概特/盖特、米当卡、ALLKEEP、康恩贝</x:v>
      </x:c>
      <x:c r="I213" s="5" t="str">
        <x:v>自然</x:v>
      </x:c>
      <x:c r="J213" s="5" t="str">
        <x:v>未核实</x:v>
      </x:c>
    </x:row>
    <x:row r="214" ht="27" customHeight="1">
      <x:c r="A214" s="5" t="str">
        <x:v>豆包</x:v>
      </x:c>
      <x:c r="B214" s="5" t="str">
        <x:v>Q9</x:v>
      </x:c>
      <x:c r="C214" s="5" t="str">
        <x:v>6. 补充营养的蛋白粉-补充营养的蛋白粉促销价格、补充营养的蛋白粉品牌 - 淘宝</x:v>
      </x:c>
      <x:c r="D214" s="5" t="str">
        <x:v>https://mobile-phone.taobao.com/chanpin/d9626de2b4376e17a7fd6c781714d91d4d68be1e2933b6356153ac7427035c50.html</x:v>
      </x:c>
      <x:c r="E214" s="5" t="str">
        <x:v>mobile-phone.taobao.com</x:v>
      </x:c>
      <x:c r="F214" s="5" t="str">
        <x:v>电商</x:v>
      </x:c>
      <x:c r="G214" s="5" t="str">
        <x:v>否</x:v>
      </x:c>
      <x:c r="H214" s="5" t="str">
        <x:v>赛霸/小赛同学、概特/盖特、米当卡、ALLKEEP、康恩贝</x:v>
      </x:c>
      <x:c r="I214" s="5" t="str">
        <x:v>自然</x:v>
      </x:c>
      <x:c r="J214" s="5" t="str">
        <x:v>未核实</x:v>
      </x:c>
    </x:row>
    <x:row r="215" ht="27" customHeight="1">
      <x:c r="A215" s="5" t="str">
        <x:v>豆包</x:v>
      </x:c>
      <x:c r="B215" s="5" t="str">
        <x:v>Q9</x:v>
      </x:c>
      <x:c r="C215" s="5" t="str">
        <x:v>7. 四大蛋白粉品牌。#创作者中心 #创作灵感 #蛋白粉#蛋白粉测评#蛋白粉推荐</x:v>
      </x:c>
      <x:c r="D215" s="5" t="str">
        <x:v>https://www.iesdouyin.com/share/video/7585740545486851369</x:v>
      </x:c>
      <x:c r="E215" s="5" t="str">
        <x:v>iesdouyin.com</x:v>
      </x:c>
      <x:c r="F215" s="5" t="str">
        <x:v>UGC/视频/公众号</x:v>
      </x:c>
      <x:c r="G215" s="5" t="str">
        <x:v>否</x:v>
      </x:c>
      <x:c r="H215" s="5" t="str">
        <x:v>赛霸/小赛同学、概特/盖特、米当卡、ALLKEEP、康恩贝</x:v>
      </x:c>
      <x:c r="I215" s="5" t="str">
        <x:v>自然</x:v>
      </x:c>
      <x:c r="J215" s="5" t="str">
        <x:v>未核实</x:v>
      </x:c>
    </x:row>
    <x:row r="216" ht="27" customHeight="1">
      <x:c r="A216" s="5" t="str">
        <x:v>豆包</x:v>
      </x:c>
      <x:c r="B216" s="5" t="str">
        <x:v>Q9</x:v>
      </x:c>
      <x:c r="C216" s="5" t="str">
        <x:v>8. 你的蛋白粉在第几梯队？#真实生活分享计划 #蛋白粉排行榜前十名 #蛋白粉测评#哪种蛋白粉比较好 #蛋白粉</x:v>
      </x:c>
      <x:c r="D216" s="5" t="str">
        <x:v>https://www.iesdouyin.com/share/video/7588040089142769235</x:v>
      </x:c>
      <x:c r="E216" s="5" t="str">
        <x:v>iesdouyin.com</x:v>
      </x:c>
      <x:c r="F216" s="5" t="str">
        <x:v>UGC/视频/公众号</x:v>
      </x:c>
      <x:c r="G216" s="5" t="str">
        <x:v>否</x:v>
      </x:c>
      <x:c r="H216" s="5" t="str">
        <x:v>赛霸/小赛同学、概特/盖特、米当卡、ALLKEEP、康恩贝</x:v>
      </x:c>
      <x:c r="I216" s="5" t="str">
        <x:v>自然</x:v>
      </x:c>
      <x:c r="J216" s="5" t="str">
        <x:v>未核实</x:v>
      </x:c>
    </x:row>
    <x:row r="217" ht="27" customHeight="1">
      <x:c r="A217" s="5" t="str">
        <x:v>豆包</x:v>
      </x:c>
      <x:c r="B217" s="5" t="str">
        <x:v>Q9</x:v>
      </x:c>
      <x:c r="C217" s="5" t="str">
        <x:v>9. 今天给大家整理了六款市面上常见的六款植物蛋白粉。希望大家在选购蛋白粉的时候能帮助到大家#术后恢复 #蛋白粉</x:v>
      </x:c>
      <x:c r="D217" s="5" t="str">
        <x:v>https://www.iesdouyin.com/share/video/7599492376453247419</x:v>
      </x:c>
      <x:c r="E217" s="5" t="str">
        <x:v>iesdouyin.com</x:v>
      </x:c>
      <x:c r="F217" s="5" t="str">
        <x:v>UGC/视频/公众号</x:v>
      </x:c>
      <x:c r="G217" s="5" t="str">
        <x:v>否</x:v>
      </x:c>
      <x:c r="H217" s="5" t="str">
        <x:v>赛霸/小赛同学、概特/盖特、米当卡、ALLKEEP、康恩贝</x:v>
      </x:c>
      <x:c r="I217" s="5" t="str">
        <x:v>自然</x:v>
      </x:c>
      <x:c r="J217" s="5" t="str">
        <x:v>未核实</x:v>
      </x:c>
    </x:row>
    <x:row r="218" ht="27" customHeight="1">
      <x:c r="A218" s="5" t="str">
        <x:v>豆包</x:v>
      </x:c>
      <x:c r="B218" s="5" t="str">
        <x:v>Q9</x:v>
      </x:c>
      <x:c r="C218" s="5" t="str">
        <x:v>10. 一个视频锐评市面上的分离乳清蛋白粉#蛋白粉</x:v>
      </x:c>
      <x:c r="D218" s="5" t="str">
        <x:v>https://www.iesdouyin.com/share/video/7571762221413135743</x:v>
      </x:c>
      <x:c r="E218" s="5" t="str">
        <x:v>iesdouyin.com</x:v>
      </x:c>
      <x:c r="F218" s="5" t="str">
        <x:v>UGC/视频/公众号</x:v>
      </x:c>
      <x:c r="G218" s="5" t="str">
        <x:v>否</x:v>
      </x:c>
      <x:c r="H218" s="5" t="str">
        <x:v>赛霸/小赛同学、概特/盖特、米当卡、ALLKEEP、康恩贝</x:v>
      </x:c>
      <x:c r="I218" s="5" t="str">
        <x:v>自然</x:v>
      </x:c>
      <x:c r="J218" s="5" t="str">
        <x:v>未核实</x:v>
      </x:c>
    </x:row>
    <x:row r="219" ht="27" customHeight="1">
      <x:c r="A219" s="5" t="str">
        <x:v>豆包</x:v>
      </x:c>
      <x:c r="B219" s="5" t="str">
        <x:v>Q9</x:v>
      </x:c>
      <x:c r="C219" s="5" t="str">
        <x:v>11. 有没有兄弟吃过这款的，效果怎么样#健身 #蛋白粉 #健身干货</x:v>
      </x:c>
      <x:c r="D219" s="5" t="str">
        <x:v>https://www.iesdouyin.com/share/video/7617802422660216482</x:v>
      </x:c>
      <x:c r="E219" s="5" t="str">
        <x:v>iesdouyin.com</x:v>
      </x:c>
      <x:c r="F219" s="5" t="str">
        <x:v>UGC/视频/公众号</x:v>
      </x:c>
      <x:c r="G219" s="5" t="str">
        <x:v>否</x:v>
      </x:c>
      <x:c r="H219" s="5" t="str">
        <x:v>赛霸/小赛同学、概特/盖特、米当卡、ALLKEEP、康恩贝</x:v>
      </x:c>
      <x:c r="I219" s="5" t="str">
        <x:v>自然</x:v>
      </x:c>
      <x:c r="J219" s="5" t="str">
        <x:v>未核实</x:v>
      </x:c>
    </x:row>
    <x:row r="220" ht="27" customHeight="1">
      <x:c r="A220" s="5" t="str">
        <x:v>豆包</x:v>
      </x:c>
      <x:c r="B220" s="5" t="str">
        <x:v>Q9</x:v>
      </x:c>
      <x:c r="C220" s="5" t="str">
        <x:v>12. 野兽 乳清 蛋白 粉 100 多 块钱 到手 一桶 ， 1 . 65 磅 ， 每天 喝 一份 可以 喝 2 个 多月 ， 折合 下来 一 天 也就 一瓶 水 钱 # 北欧 海盗 蛋白粉 # 北欧 海盗 # 北欧 海盗 运动 营养 # 蛋白粉 推荐</x:v>
      </x:c>
      <x:c r="D220" s="5" t="str">
        <x:v>https://www.iesdouyin.com/share/video/7670889092679249123</x:v>
      </x:c>
      <x:c r="E220" s="5" t="str">
        <x:v>iesdouyin.com</x:v>
      </x:c>
      <x:c r="F220" s="5" t="str">
        <x:v>UGC/视频/公众号</x:v>
      </x:c>
      <x:c r="G220" s="5" t="str">
        <x:v>否</x:v>
      </x:c>
      <x:c r="H220" s="5" t="str">
        <x:v>赛霸/小赛同学、概特/盖特、米当卡、ALLKEEP、康恩贝</x:v>
      </x:c>
      <x:c r="I220" s="5" t="str">
        <x:v>自然</x:v>
      </x:c>
      <x:c r="J220" s="5" t="str">
        <x:v>未核实</x:v>
      </x:c>
    </x:row>
    <x:row r="221" ht="27" customHeight="1">
      <x:c r="A221" s="5" t="str">
        <x:v>豆包</x:v>
      </x:c>
      <x:c r="B221" s="5" t="str">
        <x:v>Q9</x:v>
      </x:c>
      <x:c r="C221" s="5" t="str">
        <x:v>13. 蛋白粉 900 克 - 蛋白粉 900 克 促销 价格 、 蛋白粉 900 克 品牌 - 淘宝</x:v>
      </x:c>
      <x:c r="D221" s="5" t="str">
        <x:v>https://mobile-phone.taobao.com/chanpin/7a0013fa95aa56dcfcd1751c74bc14ca.html</x:v>
      </x:c>
      <x:c r="E221" s="5" t="str">
        <x:v>mobile-phone.taobao.com</x:v>
      </x:c>
      <x:c r="F221" s="5" t="str">
        <x:v>电商</x:v>
      </x:c>
      <x:c r="G221" s="5" t="str">
        <x:v>否</x:v>
      </x:c>
      <x:c r="H221" s="5" t="str">
        <x:v>赛霸/小赛同学、概特/盖特、米当卡、ALLKEEP、康恩贝</x:v>
      </x:c>
      <x:c r="I221" s="5" t="str">
        <x:v>自然</x:v>
      </x:c>
      <x:c r="J221" s="5" t="str">
        <x:v>未核实</x:v>
      </x:c>
    </x:row>
    <x:row r="222" ht="27" customHeight="1">
      <x:c r="A222" s="5" t="str">
        <x:v>豆包</x:v>
      </x:c>
      <x:c r="B222" s="5" t="str">
        <x:v>Q9</x:v>
      </x:c>
      <x:c r="C222" s="5" t="str">
        <x:v>14. 想 喝 蛋白粉 的 ， 这 波 活动 不要 错过 # 蛋白粉</x:v>
      </x:c>
      <x:c r="D222" s="5" t="str">
        <x:v>https://www.iesdouyin.com/share/video/7668108391751892142</x:v>
      </x:c>
      <x:c r="E222" s="5" t="str">
        <x:v>iesdouyin.com</x:v>
      </x:c>
      <x:c r="F222" s="5" t="str">
        <x:v>UGC/视频/公众号</x:v>
      </x:c>
      <x:c r="G222" s="5" t="str">
        <x:v>否</x:v>
      </x:c>
      <x:c r="H222" s="5" t="str">
        <x:v>赛霸/小赛同学、概特/盖特、米当卡、ALLKEEP、康恩贝</x:v>
      </x:c>
      <x:c r="I222" s="5" t="str">
        <x:v>自然</x:v>
      </x:c>
      <x:c r="J222" s="5" t="str">
        <x:v>未核实</x:v>
      </x:c>
    </x:row>
    <x:row r="223" ht="27" customHeight="1">
      <x:c r="A223" s="5" t="str">
        <x:v>豆包</x:v>
      </x:c>
      <x:c r="B223" s="5" t="str">
        <x:v>Q9</x:v>
      </x:c>
      <x:c r="C223" s="5" t="str">
        <x:v>15. 健康的乳清protien粉有助于更好的消化-Alibaba.com</x:v>
      </x:c>
      <x:c r="D223" s="5" t="str">
        <x:v>https://chinese.alibaba.com/g/whey-protien-powder.html</x:v>
      </x:c>
      <x:c r="E223" s="5" t="str">
        <x:v>chinese.alibaba.com</x:v>
      </x:c>
      <x:c r="F223" s="5" t="str">
        <x:v>其他网页</x:v>
      </x:c>
      <x:c r="G223" s="5" t="str">
        <x:v>否</x:v>
      </x:c>
      <x:c r="H223" s="5" t="str">
        <x:v>赛霸/小赛同学、概特/盖特、米当卡、ALLKEEP、康恩贝</x:v>
      </x:c>
      <x:c r="I223" s="5" t="str">
        <x:v>自然</x:v>
      </x:c>
      <x:c r="J223" s="5" t="str">
        <x:v>未核实</x:v>
      </x:c>
    </x:row>
    <x:row r="224" ht="27" customHeight="1">
      <x:c r="A224" s="5" t="str">
        <x:v>豆包</x:v>
      </x:c>
      <x:c r="B224" s="5" t="str">
        <x:v>Q9</x:v>
      </x:c>
      <x:c r="C224" s="5" t="str">
        <x:v>16. 真的 一口 沦陷 🔥 巨 好喝 巨 好喝 蛋白粉 🔥 每 包 才 100 多 大卡 ！ 蛋白质 79 克 绝 了 ！ # 酵母 蛋白粉 # 闪现 小白 酵母 蛋白粉</x:v>
      </x:c>
      <x:c r="D224" s="5" t="str">
        <x:v>https://www.iesdouyin.com/share/video/7673095788603413734</x:v>
      </x:c>
      <x:c r="E224" s="5" t="str">
        <x:v>iesdouyin.com</x:v>
      </x:c>
      <x:c r="F224" s="5" t="str">
        <x:v>UGC/视频/公众号</x:v>
      </x:c>
      <x:c r="G224" s="5" t="str">
        <x:v>否</x:v>
      </x:c>
      <x:c r="H224" s="5" t="str">
        <x:v>赛霸/小赛同学、概特/盖特、米当卡、ALLKEEP、康恩贝</x:v>
      </x:c>
      <x:c r="I224" s="5" t="str">
        <x:v>自然</x:v>
      </x:c>
      <x:c r="J224" s="5" t="str">
        <x:v>未核实</x:v>
      </x:c>
    </x:row>
    <x:row r="225" ht="27" customHeight="1">
      <x:c r="A225" s="5" t="str">
        <x:v>豆包</x:v>
      </x:c>
      <x:c r="B225" s="5" t="str">
        <x:v>Q10</x:v>
      </x:c>
      <x:c r="C225" s="5" t="str">
        <x:v>1. 四款性价比乳清推荐！ #蛋白粉推荐</x:v>
      </x:c>
      <x:c r="D225" s="5" t="str">
        <x:v>https://www.iesdouyin.com/share/video/7676505862819427825</x:v>
      </x:c>
      <x:c r="E225" s="5" t="str">
        <x:v>iesdouyin.com</x:v>
      </x:c>
      <x:c r="F225" s="5" t="str">
        <x:v>UGC/视频/公众号</x:v>
      </x:c>
      <x:c r="G225" s="5" t="str">
        <x:v>否</x:v>
      </x:c>
      <x:c r="H225" s="5" t="str">
        <x:v>Keep、赛霸/小赛同学、ALLKEEP、康比特、紫光优健、ON/欧普特蒙</x:v>
      </x:c>
      <x:c r="I225" s="5" t="str">
        <x:v>自然</x:v>
      </x:c>
      <x:c r="J225" s="5" t="str">
        <x:v>未核实</x:v>
      </x:c>
    </x:row>
    <x:row r="226" ht="27" customHeight="1">
      <x:c r="A226" s="5" t="str">
        <x:v>豆包</x:v>
      </x:c>
      <x:c r="B226" s="5" t="str">
        <x:v>Q10</x:v>
      </x:c>
      <x:c r="C226" s="5" t="str">
        <x:v>2. 今年的蛋白粉的性价比排行榜来了！ 包含：国产on、进口on、赛霸、赛霸原生、紫光三重、Hot、Foyes、康比特、训练怪兽、肌肉科技、Yamamoto、Allmax、Allstars、狄马泰斯、Tie</x:v>
      </x:c>
      <x:c r="D226" s="5" t="str">
        <x:v>https://www.iesdouyin.com/share/video/7558315070912990479</x:v>
      </x:c>
      <x:c r="E226" s="5" t="str">
        <x:v>iesdouyin.com</x:v>
      </x:c>
      <x:c r="F226" s="5" t="str">
        <x:v>UGC/视频/公众号</x:v>
      </x:c>
      <x:c r="G226" s="5" t="str">
        <x:v>否</x:v>
      </x:c>
      <x:c r="H226" s="5" t="str">
        <x:v>Keep、赛霸/小赛同学、ALLKEEP、康比特、紫光优健、ON/欧普特蒙</x:v>
      </x:c>
      <x:c r="I226" s="5" t="str">
        <x:v>自然</x:v>
      </x:c>
      <x:c r="J226" s="5" t="str">
        <x:v>未核实</x:v>
      </x:c>
    </x:row>
    <x:row r="227" ht="27" customHeight="1">
      <x:c r="A227" s="5" t="str">
        <x:v>豆包</x:v>
      </x:c>
      <x:c r="B227" s="5" t="str">
        <x:v>Q10</x:v>
      </x:c>
      <x:c r="C227" s="5" t="str">
        <x:v>3. 蛋白粉暴涨70%！12款蛋白粉推荐，谁才是真正的性价比之王？ 真是万万没想到，这些年什么都跌，唯独咱们刚需的蛋白粉涨上了天！看着从448涨到768的同款，我决定必须做一期视频，帮大家探探路。这次的12</x:v>
      </x:c>
      <x:c r="D227" s="5" t="str">
        <x:v>https://www.iesdouyin.com/share/video/7689761448104381723</x:v>
      </x:c>
      <x:c r="E227" s="5" t="str">
        <x:v>iesdouyin.com</x:v>
      </x:c>
      <x:c r="F227" s="5" t="str">
        <x:v>UGC/视频/公众号</x:v>
      </x:c>
      <x:c r="G227" s="5" t="str">
        <x:v>否</x:v>
      </x:c>
      <x:c r="H227" s="5" t="str">
        <x:v>Keep、赛霸/小赛同学、ALLKEEP、康比特、紫光优健、ON/欧普特蒙</x:v>
      </x:c>
      <x:c r="I227" s="5" t="str">
        <x:v>自然</x:v>
      </x:c>
      <x:c r="J227" s="5" t="str">
        <x:v>未核实</x:v>
      </x:c>
    </x:row>
    <x:row r="228" ht="27" customHeight="1">
      <x:c r="A228" s="5" t="str">
        <x:v>豆包</x:v>
      </x:c>
      <x:c r="B228" s="5" t="str">
        <x:v>Q10</x:v>
      </x:c>
      <x:c r="C228" s="5" t="str">
        <x:v>4. 30多款蛋白粉成分对比！吐血整理！无广。不论您是什么原因需要选购蛋白粉 相信通过这一篇笔记，都能让您对市面上的蛋白粉有一个比较全面的认识（无广！请放心阅读） - 🔝现在市面上最多的就是增肌粉，占据了近</x:v>
      </x:c>
      <x:c r="D228" s="5" t="str">
        <x:v>https://www.iesdouyin.com/share/video/7203727027915001144</x:v>
      </x:c>
      <x:c r="E228" s="5" t="str">
        <x:v>iesdouyin.com</x:v>
      </x:c>
      <x:c r="F228" s="5" t="str">
        <x:v>UGC/视频/公众号</x:v>
      </x:c>
      <x:c r="G228" s="5" t="str">
        <x:v>否</x:v>
      </x:c>
      <x:c r="H228" s="5" t="str">
        <x:v>Keep、赛霸/小赛同学、ALLKEEP、康比特、紫光优健、ON/欧普特蒙</x:v>
      </x:c>
      <x:c r="I228" s="5" t="str">
        <x:v>自然</x:v>
      </x:c>
      <x:c r="J228" s="5" t="str">
        <x:v>未核实</x:v>
      </x:c>
    </x:row>
    <x:row r="229" ht="27" customHeight="1">
      <x:c r="A229" s="5" t="str">
        <x:v>豆包</x:v>
      </x:c>
      <x:c r="B229" s="5" t="str">
        <x:v>Q10</x:v>
      </x:c>
      <x:c r="C229" s="5" t="str">
        <x:v>5. 9月份蛋白粉推荐 A57:9月份蛋白粉推荐。很多之前推荐的蛋白粉要么涨价了，要么断货了，所以就出了这份9月份蛋白粉推荐，那你现在喝的是什么蛋白粉呢？#蛋白粉 #蛋白粉推荐 #蛋白粉测评 #酵母蛋白 #</x:v>
      </x:c>
      <x:c r="D229" s="5" t="str">
        <x:v>https://www.iesdouyin.com/share/video/7681888051950356465</x:v>
      </x:c>
      <x:c r="E229" s="5" t="str">
        <x:v>iesdouyin.com</x:v>
      </x:c>
      <x:c r="F229" s="5" t="str">
        <x:v>UGC/视频/公众号</x:v>
      </x:c>
      <x:c r="G229" s="5" t="str">
        <x:v>否</x:v>
      </x:c>
      <x:c r="H229" s="5" t="str">
        <x:v>Keep、赛霸/小赛同学、ALLKEEP、康比特、紫光优健、ON/欧普特蒙</x:v>
      </x:c>
      <x:c r="I229" s="5" t="str">
        <x:v>自然</x:v>
      </x:c>
      <x:c r="J229" s="5" t="str">
        <x:v>未核实</x:v>
      </x:c>
    </x:row>
    <x:row r="230" ht="27" customHeight="1">
      <x:c r="A230" s="5" t="str">
        <x:v>豆包</x:v>
      </x:c>
      <x:c r="B230" s="5" t="str">
        <x:v>Q10</x:v>
      </x:c>
      <x:c r="C230" s="5" t="str">
        <x:v>6. 最后一期穷哥们蛋白粉推荐 A43:同品类里面还有更便宜的吧？没有了。混合蛋白疯狂爆雷，各位最近一定要小心。但是赛霸的那款八磅的400多块钱还是很不错的，作为蛋白质的补充没问题。当去年囤的原料卖完，经销</x:v>
      </x:c>
      <x:c r="D230" s="5" t="str">
        <x:v>https://www.iesdouyin.com/share/video/7674212791776066683</x:v>
      </x:c>
      <x:c r="E230" s="5" t="str">
        <x:v>iesdouyin.com</x:v>
      </x:c>
      <x:c r="F230" s="5" t="str">
        <x:v>UGC/视频/公众号</x:v>
      </x:c>
      <x:c r="G230" s="5" t="str">
        <x:v>否</x:v>
      </x:c>
      <x:c r="H230" s="5" t="str">
        <x:v>Keep、赛霸/小赛同学、ALLKEEP、康比特、紫光优健、ON/欧普特蒙</x:v>
      </x:c>
      <x:c r="I230" s="5" t="str">
        <x:v>自然</x:v>
      </x:c>
      <x:c r="J230" s="5" t="str">
        <x:v>未核实</x:v>
      </x:c>
    </x:row>
    <x:row r="231" ht="27" customHeight="1">
      <x:c r="A231" s="5" t="str">
        <x:v>豆包</x:v>
      </x:c>
      <x:c r="B231" s="5" t="str">
        <x:v>Q10</x:v>
      </x:c>
      <x:c r="C231" s="5" t="str">
        <x:v>7. 乳清蛋白粉哪个品牌最好 ？ v十大高口碑老牌乳清蛋白粉盘点，奥运冠军同款国货全能蛋白粉首选#乳清蛋白粉十大排名 #蛋白粉 #提高免疫力保健品 #国产蛋白粉推荐 #中老年蛋白粉推荐</x:v>
      </x:c>
      <x:c r="D231" s="5" t="str">
        <x:v>https://www.iesdouyin.com/share/video/7665989848142023946</x:v>
      </x:c>
      <x:c r="E231" s="5" t="str">
        <x:v>iesdouyin.com</x:v>
      </x:c>
      <x:c r="F231" s="5" t="str">
        <x:v>UGC/视频/公众号</x:v>
      </x:c>
      <x:c r="G231" s="5" t="str">
        <x:v>否</x:v>
      </x:c>
      <x:c r="H231" s="5" t="str">
        <x:v>Keep、赛霸/小赛同学、ALLKEEP、康比特、紫光优健、ON/欧普特蒙</x:v>
      </x:c>
      <x:c r="I231" s="5" t="str">
        <x:v>自然</x:v>
      </x:c>
      <x:c r="J231" s="5" t="str">
        <x:v>未核实</x:v>
      </x:c>
    </x:row>
    <x:row r="232" ht="27" customHeight="1">
      <x:c r="A232" s="5" t="str">
        <x:v>豆包</x:v>
      </x:c>
      <x:c r="B232" s="5" t="str">
        <x:v>Q10</x:v>
      </x:c>
      <x:c r="C232" s="5" t="str">
        <x:v>8. 国产蛋白粉vs进口蛋白粉！中老年人应该怎么选择#蛋白粉 #蛋白粉测评 #国产蛋白粉 #进口蛋白粉 #蛋白质</x:v>
      </x:c>
      <x:c r="D232" s="5" t="str">
        <x:v>https://www.iesdouyin.com/share/video/7602073361044246646</x:v>
      </x:c>
      <x:c r="E232" s="5" t="str">
        <x:v>iesdouyin.com</x:v>
      </x:c>
      <x:c r="F232" s="5" t="str">
        <x:v>UGC/视频/公众号</x:v>
      </x:c>
      <x:c r="G232" s="5" t="str">
        <x:v>否</x:v>
      </x:c>
      <x:c r="H232" s="5" t="str">
        <x:v>Keep、赛霸/小赛同学、ALLKEEP、康比特、紫光优健、ON/欧普特蒙</x:v>
      </x:c>
      <x:c r="I232" s="5" t="str">
        <x:v>自然</x:v>
      </x:c>
      <x:c r="J232" s="5" t="str">
        <x:v>未核实</x:v>
      </x:c>
    </x:row>
    <x:row r="233" ht="27" customHeight="1">
      <x:c r="A233" s="5" t="str">
        <x:v>豆包</x:v>
      </x:c>
      <x:c r="B233" s="5" t="str">
        <x:v>Q10</x:v>
      </x:c>
      <x:c r="C233" s="5" t="str">
        <x:v>9. 国产乳清蛋白粉有望终结乳清涨价魔咒#张大象 #国产乳清#蛋白粉测评</x:v>
      </x:c>
      <x:c r="D233" s="5" t="str">
        <x:v>https://www.iesdouyin.com/share/video/7688916473423692175</x:v>
      </x:c>
      <x:c r="E233" s="5" t="str">
        <x:v>iesdouyin.com</x:v>
      </x:c>
      <x:c r="F233" s="5" t="str">
        <x:v>UGC/视频/公众号</x:v>
      </x:c>
      <x:c r="G233" s="5" t="str">
        <x:v>否</x:v>
      </x:c>
      <x:c r="H233" s="5" t="str">
        <x:v>Keep、赛霸/小赛同学、ALLKEEP、康比特、紫光优健、ON/欧普特蒙</x:v>
      </x:c>
      <x:c r="I233" s="5" t="str">
        <x:v>自然</x:v>
      </x:c>
      <x:c r="J233" s="5" t="str">
        <x:v>未核实</x:v>
      </x:c>
    </x:row>
    <x:row r="234" ht="27" customHeight="1">
      <x:c r="A234" s="5" t="str">
        <x:v>豆包</x:v>
      </x:c>
      <x:c r="B234" s="5" t="str">
        <x:v>Q10</x:v>
      </x:c>
      <x:c r="C234" s="5" t="str">
        <x:v>10. 一天四勺蛋白粉多不多。健身时一天喝四勺蛋白粉，到底算不算多啊？会不会因为摄入量超标给身体带来负担呢？ 一天四勺蛋白粉多不多没有固定答案，核心看每勺的蛋白含量、个人训练强度，还有所处的健身阶段——增</x:v>
      </x:c>
      <x:c r="D234" s="5" t="str">
        <x:v>https://www.iesdouyin.com/share/video/7577405408089768421</x:v>
      </x:c>
      <x:c r="E234" s="5" t="str">
        <x:v>iesdouyin.com</x:v>
      </x:c>
      <x:c r="F234" s="5" t="str">
        <x:v>UGC/视频/公众号</x:v>
      </x:c>
      <x:c r="G234" s="5" t="str">
        <x:v>否</x:v>
      </x:c>
      <x:c r="H234" s="5" t="str">
        <x:v>Keep、赛霸/小赛同学、ALLKEEP、康比特、紫光优健、ON/欧普特蒙</x:v>
      </x:c>
      <x:c r="I234" s="5" t="str">
        <x:v>自然</x:v>
      </x:c>
      <x:c r="J234" s="5" t="str">
        <x:v>未核实</x:v>
      </x:c>
    </x:row>
    <x:row r="235" ht="27" customHeight="1">
      <x:c r="A235" s="5" t="str">
        <x:v>豆包</x:v>
      </x:c>
      <x:c r="B235" s="5" t="str">
        <x:v>Q10</x:v>
      </x:c>
      <x:c r="C235" s="5" t="str">
        <x:v>11. 突然想起来好像从来没人讲过这个概念，不同的蛋白粉1元=多少蛋白质，所以我做了个总结，大伙看看还有没有性价比更高的。#健身补剂 #蛋白粉 #健身小白必看经验 #蛋白粉推荐 #健身蛋白粉推荐</x:v>
      </x:c>
      <x:c r="D235" s="5" t="str">
        <x:v>https://www.iesdouyin.com/share/video/7408196558828621071</x:v>
      </x:c>
      <x:c r="E235" s="5" t="str">
        <x:v>iesdouyin.com</x:v>
      </x:c>
      <x:c r="F235" s="5" t="str">
        <x:v>UGC/视频/公众号</x:v>
      </x:c>
      <x:c r="G235" s="5" t="str">
        <x:v>否</x:v>
      </x:c>
      <x:c r="H235" s="5" t="str">
        <x:v>Keep、赛霸/小赛同学、ALLKEEP、康比特、紫光优健、ON/欧普特蒙</x:v>
      </x:c>
      <x:c r="I235" s="5" t="str">
        <x:v>自然</x:v>
      </x:c>
      <x:c r="J235" s="5" t="str">
        <x:v>未核实</x:v>
      </x:c>
    </x:row>
    <x:row r="236" ht="27" customHeight="1">
      <x:c r="A236" s="5" t="str">
        <x:v>豆包</x:v>
      </x:c>
      <x:c r="B236" s="5" t="str">
        <x:v>Q10</x:v>
      </x:c>
      <x:c r="C236" s="5" t="str">
        <x:v>12. 买蛋白粉怎么看性价比？ 公式 价格/重量*蛋白质含量百分比。然后多个蛋白粉对比，一般来讲大豆蛋白最便宜，其次是浓缩乳清蛋白，最后是分离乳清蛋白和水解乳清蛋白粉最贵，但是吸收也是最好的，氨基酸齐全，综合</x:v>
      </x:c>
      <x:c r="D236" s="5" t="str">
        <x:v>https://www.iesdouyin.com/share/video/7620760697382702377</x:v>
      </x:c>
      <x:c r="E236" s="5" t="str">
        <x:v>iesdouyin.com</x:v>
      </x:c>
      <x:c r="F236" s="5" t="str">
        <x:v>UGC/视频/公众号</x:v>
      </x:c>
      <x:c r="G236" s="5" t="str">
        <x:v>否</x:v>
      </x:c>
      <x:c r="H236" s="5" t="str">
        <x:v>Keep、赛霸/小赛同学、ALLKEEP、康比特、紫光优健、ON/欧普特蒙</x:v>
      </x:c>
      <x:c r="I236" s="5" t="str">
        <x:v>自然</x:v>
      </x:c>
      <x:c r="J236" s="5" t="str">
        <x:v>未核实</x:v>
      </x:c>
    </x:row>
    <x:row r="237" ht="27" customHeight="1">
      <x:c r="A237" s="5" t="str">
        <x:v>豆包</x:v>
      </x:c>
      <x:c r="B237" s="5" t="str">
        <x:v>Q10</x:v>
      </x:c>
      <x:c r="C237" s="5" t="str">
        <x:v>13. 蛋白粉你选对了吗？#蛋白粉#控糖早餐#营养师#健康管理#体重管理</x:v>
      </x:c>
      <x:c r="D237" s="5" t="str">
        <x:v>https://www.iesdouyin.com/share/video/7443358658395671819</x:v>
      </x:c>
      <x:c r="E237" s="5" t="str">
        <x:v>iesdouyin.com</x:v>
      </x:c>
      <x:c r="F237" s="5" t="str">
        <x:v>UGC/视频/公众号</x:v>
      </x:c>
      <x:c r="G237" s="5" t="str">
        <x:v>否</x:v>
      </x:c>
      <x:c r="H237" s="5" t="str">
        <x:v>Keep、赛霸/小赛同学、ALLKEEP、康比特、紫光优健、ON/欧普特蒙</x:v>
      </x:c>
      <x:c r="I237" s="5" t="str">
        <x:v>自然</x:v>
      </x:c>
      <x:c r="J237" s="5" t="str">
        <x:v>未核实</x:v>
      </x:c>
    </x:row>
    <x:row r="238" ht="27" customHeight="1">
      <x:c r="A238" s="5" t="str">
        <x:v>豆包</x:v>
      </x:c>
      <x:c r="B238" s="5" t="str">
        <x:v>Q11</x:v>
      </x:c>
      <x:c r="C238" s="5" t="str">
        <x:v>1. 锐评国产乳清相关蛋白 R3:锐评国产的乳清蛋白，混合蛋白和牛奶蛋白就是我喝过的几款，这几款是我喝过的，所以感触比较深，我不会去赛博评价。#蛋白粉 #蛋白粉推荐 #蛋白粉测评 #乳清蛋白 #牛奶蛋白</x:v>
      </x:c>
      <x:c r="D238" s="5" t="str">
        <x:v>https://www.iesdouyin.com/share/video/7687613281725655217</x:v>
      </x:c>
      <x:c r="E238" s="5" t="str">
        <x:v>iesdouyin.com</x:v>
      </x:c>
      <x:c r="F238" s="5" t="str">
        <x:v>UGC/视频/公众号</x:v>
      </x:c>
      <x:c r="G238" s="5" t="str">
        <x:v>否</x:v>
      </x:c>
      <x:c r="H238" s="5" t="str">
        <x:v>赛霸/小赛同学、康比特、汤臣倍健、FoYes/赴野士、训练怪兽、紫光优健、健乐多</x:v>
      </x:c>
      <x:c r="I238" s="5" t="str">
        <x:v>自然</x:v>
      </x:c>
      <x:c r="J238" s="5" t="str">
        <x:v>未核实</x:v>
      </x:c>
    </x:row>
    <x:row r="239" ht="27" customHeight="1">
      <x:c r="A239" s="5" t="str">
        <x:v>豆包</x:v>
      </x:c>
      <x:c r="B239" s="5" t="str">
        <x:v>Q11</x:v>
      </x:c>
      <x:c r="C239" s="5" t="str">
        <x:v>2. 9月份蛋白粉推荐 A57:9月份蛋白粉推荐。很多之前推荐的蛋白粉要么涨价了，要么断货了，所以就出了这份9月份蛋白粉推荐，那你现在喝的是什么蛋白粉呢？#蛋白粉 #蛋白粉推荐 #蛋白粉测评 #酵母蛋白 #</x:v>
      </x:c>
      <x:c r="D239" s="5" t="str">
        <x:v>https://www.iesdouyin.com/share/video/7681888051950356465</x:v>
      </x:c>
      <x:c r="E239" s="5" t="str">
        <x:v>iesdouyin.com</x:v>
      </x:c>
      <x:c r="F239" s="5" t="str">
        <x:v>UGC/视频/公众号</x:v>
      </x:c>
      <x:c r="G239" s="5" t="str">
        <x:v>否</x:v>
      </x:c>
      <x:c r="H239" s="5" t="str">
        <x:v>赛霸/小赛同学、康比特、汤臣倍健、FoYes/赴野士、训练怪兽、紫光优健、健乐多</x:v>
      </x:c>
      <x:c r="I239" s="5" t="str">
        <x:v>自然</x:v>
      </x:c>
      <x:c r="J239" s="5" t="str">
        <x:v>未核实</x:v>
      </x:c>
    </x:row>
    <x:row r="240" ht="27" customHeight="1">
      <x:c r="A240" s="5" t="str">
        <x:v>豆包</x:v>
      </x:c>
      <x:c r="B240" s="5" t="str">
        <x:v>Q11</x:v>
      </x:c>
      <x:c r="C240" s="5" t="str">
        <x:v>3. 蛋白粉从夯到拉实力排行#蛋白粉 #从夯到拉 #康比特</x:v>
      </x:c>
      <x:c r="D240" s="5" t="str">
        <x:v>https://www.iesdouyin.com/share/video/7678581412957521890</x:v>
      </x:c>
      <x:c r="E240" s="5" t="str">
        <x:v>iesdouyin.com</x:v>
      </x:c>
      <x:c r="F240" s="5" t="str">
        <x:v>UGC/视频/公众号</x:v>
      </x:c>
      <x:c r="G240" s="5" t="str">
        <x:v>否</x:v>
      </x:c>
      <x:c r="H240" s="5" t="str">
        <x:v>赛霸/小赛同学、康比特、汤臣倍健、FoYes/赴野士、训练怪兽、紫光优健、健乐多</x:v>
      </x:c>
      <x:c r="I240" s="5" t="str">
        <x:v>自然</x:v>
      </x:c>
      <x:c r="J240" s="5" t="str">
        <x:v>未核实</x:v>
      </x:c>
    </x:row>
    <x:row r="241" ht="27" customHeight="1">
      <x:c r="A241" s="5" t="str">
        <x:v>豆包</x:v>
      </x:c>
      <x:c r="B241" s="5" t="str">
        <x:v>Q11</x:v>
      </x:c>
      <x:c r="C241" s="5" t="str">
        <x:v>4. 不搞虚的，国产蛋白粉怎么选 #健身补剂蛋白粉 #蛋白粉性价比测评 #蛋白粉推荐 #蛋白粉涨价</x:v>
      </x:c>
      <x:c r="D241" s="5" t="str">
        <x:v>https://www.iesdouyin.com/share/video/7663849310089665274</x:v>
      </x:c>
      <x:c r="E241" s="5" t="str">
        <x:v>iesdouyin.com</x:v>
      </x:c>
      <x:c r="F241" s="5" t="str">
        <x:v>UGC/视频/公众号</x:v>
      </x:c>
      <x:c r="G241" s="5" t="str">
        <x:v>否</x:v>
      </x:c>
      <x:c r="H241" s="5" t="str">
        <x:v>赛霸/小赛同学、康比特、汤臣倍健、FoYes/赴野士、训练怪兽、紫光优健、健乐多</x:v>
      </x:c>
      <x:c r="I241" s="5" t="str">
        <x:v>自然</x:v>
      </x:c>
      <x:c r="J241" s="5" t="str">
        <x:v>未核实</x:v>
      </x:c>
    </x:row>
    <x:row r="242" ht="27" customHeight="1">
      <x:c r="A242" s="5" t="str">
        <x:v>豆包</x:v>
      </x:c>
      <x:c r="B242" s="5" t="str">
        <x:v>Q11</x:v>
      </x:c>
      <x:c r="C242" s="5" t="str">
        <x:v>5. 一句话锐评国产蛋白粉从夯到拉#锐评#蛋白粉#从夯到拉 #补剂#国产蛋白粉</x:v>
      </x:c>
      <x:c r="D242" s="5" t="str">
        <x:v>https://www.iesdouyin.com/share/video/7610361041084029041</x:v>
      </x:c>
      <x:c r="E242" s="5" t="str">
        <x:v>iesdouyin.com</x:v>
      </x:c>
      <x:c r="F242" s="5" t="str">
        <x:v>UGC/视频/公众号</x:v>
      </x:c>
      <x:c r="G242" s="5" t="str">
        <x:v>否</x:v>
      </x:c>
      <x:c r="H242" s="5" t="str">
        <x:v>赛霸/小赛同学、康比特、汤臣倍健、FoYes/赴野士、训练怪兽、紫光优健、健乐多</x:v>
      </x:c>
      <x:c r="I242" s="5" t="str">
        <x:v>自然</x:v>
      </x:c>
      <x:c r="J242" s="5" t="str">
        <x:v>未核实</x:v>
      </x:c>
    </x:row>
    <x:row r="243" ht="27" customHeight="1">
      <x:c r="A243" s="5" t="str">
        <x:v>豆包</x:v>
      </x:c>
      <x:c r="B243" s="5" t="str">
        <x:v>Q11</x:v>
      </x:c>
      <x:c r="C243" s="5" t="str">
        <x:v>6. 国产蛋白粉排名#蛋白粉排名#蛋白粉推荐#蛋白粉排名第一的品牌</x:v>
      </x:c>
      <x:c r="D243" s="5" t="str">
        <x:v>https://www.iesdouyin.com/share/video/7469028197619764499</x:v>
      </x:c>
      <x:c r="E243" s="5" t="str">
        <x:v>iesdouyin.com</x:v>
      </x:c>
      <x:c r="F243" s="5" t="str">
        <x:v>UGC/视频/公众号</x:v>
      </x:c>
      <x:c r="G243" s="5" t="str">
        <x:v>否</x:v>
      </x:c>
      <x:c r="H243" s="5" t="str">
        <x:v>赛霸/小赛同学、康比特、汤臣倍健、FoYes/赴野士、训练怪兽、紫光优健、健乐多</x:v>
      </x:c>
      <x:c r="I243" s="5" t="str">
        <x:v>自然</x:v>
      </x:c>
      <x:c r="J243" s="5" t="str">
        <x:v>未核实</x:v>
      </x:c>
    </x:row>
    <x:row r="244" ht="27" customHeight="1">
      <x:c r="A244" s="5" t="str">
        <x:v>豆包</x:v>
      </x:c>
      <x:c r="B244" s="5" t="str">
        <x:v>Q11</x:v>
      </x:c>
      <x:c r="C244" s="5" t="str">
        <x:v>7. 乳清蛋白粉哪个品牌最好 ？ v十大高口碑老牌乳清蛋白粉盘点，奥运冠军同款国货全能蛋白粉首选#乳清蛋白粉十大排名 #蛋白粉 #提高免疫力保健品 #国产蛋白粉推荐 #中老年蛋白粉推荐</x:v>
      </x:c>
      <x:c r="D244" s="5" t="str">
        <x:v>https://www.iesdouyin.com/share/video/7665989848142023946</x:v>
      </x:c>
      <x:c r="E244" s="5" t="str">
        <x:v>iesdouyin.com</x:v>
      </x:c>
      <x:c r="F244" s="5" t="str">
        <x:v>UGC/视频/公众号</x:v>
      </x:c>
      <x:c r="G244" s="5" t="str">
        <x:v>否</x:v>
      </x:c>
      <x:c r="H244" s="5" t="str">
        <x:v>赛霸/小赛同学、康比特、汤臣倍健、FoYes/赴野士、训练怪兽、紫光优健、健乐多</x:v>
      </x:c>
      <x:c r="I244" s="5" t="str">
        <x:v>自然</x:v>
      </x:c>
      <x:c r="J244" s="5" t="str">
        <x:v>未核实</x:v>
      </x:c>
    </x:row>
    <x:row r="245" ht="27" customHeight="1">
      <x:c r="A245" s="5" t="str">
        <x:v>豆包</x:v>
      </x:c>
      <x:c r="B245" s="5" t="str">
        <x:v>Q11</x:v>
      </x:c>
      <x:c r="C245" s="5" t="str">
        <x:v>8. 个人意见，欢迎探讨～#蛋白粉#蛋白粉怎么选择#蛋白粉健身#蛋白粉排行#健身补剂</x:v>
      </x:c>
      <x:c r="D245" s="5" t="str">
        <x:v>https://www.iesdouyin.com/share/video/7636662617323469962</x:v>
      </x:c>
      <x:c r="E245" s="5" t="str">
        <x:v>iesdouyin.com</x:v>
      </x:c>
      <x:c r="F245" s="5" t="str">
        <x:v>UGC/视频/公众号</x:v>
      </x:c>
      <x:c r="G245" s="5" t="str">
        <x:v>否</x:v>
      </x:c>
      <x:c r="H245" s="5" t="str">
        <x:v>赛霸/小赛同学、康比特、汤臣倍健、FoYes/赴野士、训练怪兽、紫光优健、健乐多</x:v>
      </x:c>
      <x:c r="I245" s="5" t="str">
        <x:v>自然</x:v>
      </x:c>
      <x:c r="J245" s="5" t="str">
        <x:v>未核实</x:v>
      </x:c>
    </x:row>
    <x:row r="246" ht="27" customHeight="1">
      <x:c r="A246" s="5" t="str">
        <x:v>豆包</x:v>
      </x:c>
      <x:c r="B246" s="5" t="str">
        <x:v>Q11</x:v>
      </x:c>
      <x:c r="C246" s="5" t="str">
        <x:v>9. 国产比较优秀的乳清蛋白粉 #蛋白粉 #补剂 #健身</x:v>
      </x:c>
      <x:c r="D246" s="5" t="str">
        <x:v>https://www.iesdouyin.com/share/video/7679742523857933449</x:v>
      </x:c>
      <x:c r="E246" s="5" t="str">
        <x:v>iesdouyin.com</x:v>
      </x:c>
      <x:c r="F246" s="5" t="str">
        <x:v>UGC/视频/公众号</x:v>
      </x:c>
      <x:c r="G246" s="5" t="str">
        <x:v>否</x:v>
      </x:c>
      <x:c r="H246" s="5" t="str">
        <x:v>赛霸/小赛同学、康比特、汤臣倍健、FoYes/赴野士、训练怪兽、紫光优健、健乐多</x:v>
      </x:c>
      <x:c r="I246" s="5" t="str">
        <x:v>自然</x:v>
      </x:c>
      <x:c r="J246" s="5" t="str">
        <x:v>未核实</x:v>
      </x:c>
    </x:row>
    <x:row r="247" ht="27" customHeight="1">
      <x:c r="A247" s="5" t="str">
        <x:v>豆包</x:v>
      </x:c>
      <x:c r="B247" s="5" t="str">
        <x:v>Q11</x:v>
      </x:c>
      <x:c r="C247" s="5" t="str">
        <x:v>10. 蛋白粉2026年618选购全解，只聊细节，不乱推荐，让你买粉不踩坑。#蛋白粉 #乳清蛋白 #运动 #健身 #增肌</x:v>
      </x:c>
      <x:c r="D247" s="5" t="str">
        <x:v>https://www.iesdouyin.com/share/video/7641155242523949298</x:v>
      </x:c>
      <x:c r="E247" s="5" t="str">
        <x:v>iesdouyin.com</x:v>
      </x:c>
      <x:c r="F247" s="5" t="str">
        <x:v>UGC/视频/公众号</x:v>
      </x:c>
      <x:c r="G247" s="5" t="str">
        <x:v>否</x:v>
      </x:c>
      <x:c r="H247" s="5" t="str">
        <x:v>赛霸/小赛同学、康比特、汤臣倍健、FoYes/赴野士、训练怪兽、紫光优健、健乐多</x:v>
      </x:c>
      <x:c r="I247" s="5" t="str">
        <x:v>自然</x:v>
      </x:c>
      <x:c r="J247" s="5" t="str">
        <x:v>未核实</x:v>
      </x:c>
    </x:row>
    <x:row r="248" ht="27" customHeight="1">
      <x:c r="A248" s="5" t="str">
        <x:v>豆包</x:v>
      </x:c>
      <x:c r="B248" s="5" t="str">
        <x:v>Q12</x:v>
      </x:c>
      <x:c r="C248" s="5" t="str">
        <x:v>1. 蛋白粉暴涨70%！12款蛋白粉推荐，谁才是真正的性价比之王？ 真是万万没想到，这些年什么都跌，唯独咱们刚需的蛋白粉涨上了天！看着从448涨到768的同款，我决定必须做一期视频，帮大家探探路。这次的12</x:v>
      </x:c>
      <x:c r="D248" s="5" t="str">
        <x:v>https://www.iesdouyin.com/share/video/7689761448104381723</x:v>
      </x:c>
      <x:c r="E248" s="5" t="str">
        <x:v>iesdouyin.com</x:v>
      </x:c>
      <x:c r="F248" s="5" t="str">
        <x:v>UGC/视频/公众号</x:v>
      </x:c>
      <x:c r="G248" s="5" t="str">
        <x:v>否</x:v>
      </x:c>
      <x:c r="H248" s="5" t="str">
        <x:v>Keep、赛霸/小赛同学、京东京造、ALLKEEP、康比特、ON/欧普特蒙、肌肉科技</x:v>
      </x:c>
      <x:c r="I248" s="5" t="str">
        <x:v>自然</x:v>
      </x:c>
      <x:c r="J248" s="5" t="str">
        <x:v>未核实</x:v>
      </x:c>
    </x:row>
    <x:row r="249" ht="27" customHeight="1">
      <x:c r="A249" s="5" t="str">
        <x:v>豆包</x:v>
      </x:c>
      <x:c r="B249" s="5" t="str">
        <x:v>Q12</x:v>
      </x:c>
      <x:c r="C249" s="5" t="str">
        <x:v>2. 无广告各价格区间的蛋白质选择攻略、迈斯朋克两磅分离189、马泰蓝桶五磅285、都是不错的蛋白粉#创作灵感 #健身补剂 #蛋白粉 #迈斯朋克</x:v>
      </x:c>
      <x:c r="D249" s="5" t="str">
        <x:v>https://www.iesdouyin.com/share/video/7479816444759330087</x:v>
      </x:c>
      <x:c r="E249" s="5" t="str">
        <x:v>iesdouyin.com</x:v>
      </x:c>
      <x:c r="F249" s="5" t="str">
        <x:v>UGC/视频/公众号</x:v>
      </x:c>
      <x:c r="G249" s="5" t="str">
        <x:v>否</x:v>
      </x:c>
      <x:c r="H249" s="5" t="str">
        <x:v>Keep、赛霸/小赛同学、京东京造、ALLKEEP、康比特、ON/欧普特蒙、肌肉科技</x:v>
      </x:c>
      <x:c r="I249" s="5" t="str">
        <x:v>自然</x:v>
      </x:c>
      <x:c r="J249" s="5" t="str">
        <x:v>未核实</x:v>
      </x:c>
    </x:row>
    <x:row r="250" ht="27" customHeight="1">
      <x:c r="A250" s="5" t="str">
        <x:v>豆包</x:v>
      </x:c>
      <x:c r="B250" s="5" t="str">
        <x:v>Q12</x:v>
      </x:c>
      <x:c r="C250" s="5" t="str">
        <x:v>3. 给学生党推荐几款性价比蛋白粉.#薄肌背 #学生党 #蛋白粉</x:v>
      </x:c>
      <x:c r="D250" s="5" t="str">
        <x:v>https://www.iesdouyin.com/share/video/7651112375147881920</x:v>
      </x:c>
      <x:c r="E250" s="5" t="str">
        <x:v>iesdouyin.com</x:v>
      </x:c>
      <x:c r="F250" s="5" t="str">
        <x:v>UGC/视频/公众号</x:v>
      </x:c>
      <x:c r="G250" s="5" t="str">
        <x:v>否</x:v>
      </x:c>
      <x:c r="H250" s="5" t="str">
        <x:v>Keep、赛霸/小赛同学、京东京造、ALLKEEP、康比特、ON/欧普特蒙、肌肉科技</x:v>
      </x:c>
      <x:c r="I250" s="5" t="str">
        <x:v>自然</x:v>
      </x:c>
      <x:c r="J250" s="5" t="str">
        <x:v>未核实</x:v>
      </x:c>
    </x:row>
    <x:row r="251" ht="27" customHeight="1">
      <x:c r="A251" s="5" t="str">
        <x:v>豆包</x:v>
      </x:c>
      <x:c r="B251" s="5" t="str">
        <x:v>Q12</x:v>
      </x:c>
      <x:c r="C251" s="5" t="str">
        <x:v>4. 穷哥们蛋白粉选购推荐第一弹 本期是国外5磅版乳清级别#花小钱办大事</x:v>
      </x:c>
      <x:c r="D251" s="5" t="str">
        <x:v>https://www.iesdouyin.com/share/video/7640336334602669347</x:v>
      </x:c>
      <x:c r="E251" s="5" t="str">
        <x:v>iesdouyin.com</x:v>
      </x:c>
      <x:c r="F251" s="5" t="str">
        <x:v>UGC/视频/公众号</x:v>
      </x:c>
      <x:c r="G251" s="5" t="str">
        <x:v>否</x:v>
      </x:c>
      <x:c r="H251" s="5" t="str">
        <x:v>Keep、赛霸/小赛同学、京东京造、ALLKEEP、康比特、ON/欧普特蒙、肌肉科技</x:v>
      </x:c>
      <x:c r="I251" s="5" t="str">
        <x:v>自然</x:v>
      </x:c>
      <x:c r="J251" s="5" t="str">
        <x:v>未核实</x:v>
      </x:c>
    </x:row>
    <x:row r="252" ht="27" customHeight="1">
      <x:c r="A252" s="5" t="str">
        <x:v>豆包</x:v>
      </x:c>
      <x:c r="B252" s="5" t="str">
        <x:v>Q12</x:v>
      </x:c>
      <x:c r="C252" s="5" t="str">
        <x:v>5. 大学生蛋白质怎么选 看完就明白了#减脂 #增肌</x:v>
      </x:c>
      <x:c r="D252" s="5" t="str">
        <x:v>https://www.iesdouyin.com/share/video/7639349695849344369</x:v>
      </x:c>
      <x:c r="E252" s="5" t="str">
        <x:v>iesdouyin.com</x:v>
      </x:c>
      <x:c r="F252" s="5" t="str">
        <x:v>UGC/视频/公众号</x:v>
      </x:c>
      <x:c r="G252" s="5" t="str">
        <x:v>否</x:v>
      </x:c>
      <x:c r="H252" s="5" t="str">
        <x:v>Keep、赛霸/小赛同学、京东京造、ALLKEEP、康比特、ON/欧普特蒙、肌肉科技</x:v>
      </x:c>
      <x:c r="I252" s="5" t="str">
        <x:v>自然</x:v>
      </x:c>
      <x:c r="J252" s="5" t="str">
        <x:v>未核实</x:v>
      </x:c>
    </x:row>
    <x:row r="253" ht="27" customHeight="1">
      <x:c r="A253" s="5" t="str">
        <x:v>豆包</x:v>
      </x:c>
      <x:c r="B253" s="5" t="str">
        <x:v>Q12</x:v>
      </x:c>
      <x:c r="C253" s="5" t="str">
        <x:v>6. 【科普】蛋白粉真的是智商税吗? - 金堂县第一人民医院</x:v>
      </x:c>
      <x:c r="D253" s="5" t="str">
        <x:v>http://www.jintangyy.com/newshow.aspx?id=15390&amp;mid=415</x:v>
      </x:c>
      <x:c r="E253" s="5" t="str">
        <x:v>jintangyy.com</x:v>
      </x:c>
      <x:c r="F253" s="5" t="str">
        <x:v>其他网页</x:v>
      </x:c>
      <x:c r="G253" s="5" t="str">
        <x:v>否</x:v>
      </x:c>
      <x:c r="H253" s="5" t="str">
        <x:v>Keep、赛霸/小赛同学、京东京造、ALLKEEP、康比特、ON/欧普特蒙、肌肉科技</x:v>
      </x:c>
      <x:c r="I253" s="5" t="str">
        <x:v>自然</x:v>
      </x:c>
      <x:c r="J253" s="5" t="str">
        <x:v>未核实</x:v>
      </x:c>
    </x:row>
    <x:row r="254" ht="27" customHeight="1">
      <x:c r="A254" s="5" t="str">
        <x:v>豆包</x:v>
      </x:c>
      <x:c r="B254" s="5" t="str">
        <x:v>Q12</x:v>
      </x:c>
      <x:c r="C254" s="5" t="str">
        <x:v>7. ✨常见蛋白粉详解 新手直接闭眼抄作业 #健身 #蛋白粉 #健身新手 #蛋白粉选购指南 #力量训练</x:v>
      </x:c>
      <x:c r="D254" s="5" t="str">
        <x:v>https://www.iesdouyin.com/share/video/7636504581416979747</x:v>
      </x:c>
      <x:c r="E254" s="5" t="str">
        <x:v>iesdouyin.com</x:v>
      </x:c>
      <x:c r="F254" s="5" t="str">
        <x:v>UGC/视频/公众号</x:v>
      </x:c>
      <x:c r="G254" s="5" t="str">
        <x:v>否</x:v>
      </x:c>
      <x:c r="H254" s="5" t="str">
        <x:v>Keep、赛霸/小赛同学、京东京造、ALLKEEP、康比特、ON/欧普特蒙、肌肉科技</x:v>
      </x:c>
      <x:c r="I254" s="5" t="str">
        <x:v>自然</x:v>
      </x:c>
      <x:c r="J254" s="5" t="str">
        <x:v>未核实</x:v>
      </x:c>
    </x:row>
    <x:row r="255" ht="27" customHeight="1">
      <x:c r="A255" s="5" t="str">
        <x:v>豆包</x:v>
      </x:c>
      <x:c r="B255" s="5" t="str">
        <x:v>Q12</x:v>
      </x:c>
      <x:c r="C255" s="5" t="str">
        <x:v>8. 合理选择蛋白粉</x:v>
      </x:c>
      <x:c r="D255" s="5" t="str">
        <x:v>https://www.tjzyefy.com/system/2026/03/26/030187038.shtml</x:v>
      </x:c>
      <x:c r="E255" s="5" t="str">
        <x:v>tjzyefy.com</x:v>
      </x:c>
      <x:c r="F255" s="5" t="str">
        <x:v>其他网页</x:v>
      </x:c>
      <x:c r="G255" s="5" t="str">
        <x:v>否</x:v>
      </x:c>
      <x:c r="H255" s="5" t="str">
        <x:v>Keep、赛霸/小赛同学、京东京造、ALLKEEP、康比特、ON/欧普特蒙、肌肉科技</x:v>
      </x:c>
      <x:c r="I255" s="5" t="str">
        <x:v>自然</x:v>
      </x:c>
      <x:c r="J255" s="5" t="str">
        <x:v>未核实</x:v>
      </x:c>
    </x:row>
    <x:row r="256" ht="27" customHeight="1">
      <x:c r="A256" s="5" t="str">
        <x:v>豆包</x:v>
      </x:c>
      <x:c r="B256" s="5" t="str">
        <x:v>Q12</x:v>
      </x:c>
      <x:c r="C256" s="5" t="str">
        <x:v>9. 蛋白粉怎么选?增肌减脂要不要喝蛋白粉?乳清、酪蛋白、植物蛋白一次讲清</x:v>
      </x:c>
      <x:c r="D256" s="5" t="str">
        <x:v>https://gymcalc.cn/articles/protein-powder-guide</x:v>
      </x:c>
      <x:c r="E256" s="5" t="str">
        <x:v>gymcalc.cn</x:v>
      </x:c>
      <x:c r="F256" s="5" t="str">
        <x:v>其他网页</x:v>
      </x:c>
      <x:c r="G256" s="5" t="str">
        <x:v>否</x:v>
      </x:c>
      <x:c r="H256" s="5" t="str">
        <x:v>Keep、赛霸/小赛同学、京东京造、ALLKEEP、康比特、ON/欧普特蒙、肌肉科技</x:v>
      </x:c>
      <x:c r="I256" s="5" t="str">
        <x:v>自然</x:v>
      </x:c>
      <x:c r="J256" s="5" t="str">
        <x:v>未核实</x:v>
      </x:c>
    </x:row>
    <x:row r="257" ht="27" customHeight="1">
      <x:c r="A257" s="5" t="str">
        <x:v>豆包</x:v>
      </x:c>
      <x:c r="B257" s="5" t="str">
        <x:v>Q12</x:v>
      </x:c>
      <x:c r="C257" s="5" t="str">
        <x:v>10. Best Protein Powder 2026: Whey vs Casein vs Plant + Safety</x:v>
      </x:c>
      <x:c r="D257" s="5" t="str">
        <x:v>https://calorique.io/blog/protein-powder-guide/</x:v>
      </x:c>
      <x:c r="E257" s="5" t="str">
        <x:v>calorique.io</x:v>
      </x:c>
      <x:c r="F257" s="5" t="str">
        <x:v>其他网页</x:v>
      </x:c>
      <x:c r="G257" s="5" t="str">
        <x:v>否</x:v>
      </x:c>
      <x:c r="H257" s="5" t="str">
        <x:v>Keep、赛霸/小赛同学、京东京造、ALLKEEP、康比特、ON/欧普特蒙、肌肉科技</x:v>
      </x:c>
      <x:c r="I257" s="5" t="str">
        <x:v>自然</x:v>
      </x:c>
      <x:c r="J257" s="5" t="str">
        <x:v>未核实</x:v>
      </x:c>
    </x:row>
    <x:row r="258" ht="27" customHeight="1">
      <x:c r="A258" s="5" t="str">
        <x:v>豆包</x:v>
      </x:c>
      <x:c r="B258" s="5" t="str">
        <x:v>Q12</x:v>
      </x:c>
      <x:c r="C258" s="5" t="str">
        <x:v>11. COMPLETE GUIDE TO PROTEIN AN EXPLANATION OF PROTEIN POWDER SELECTION &amp; TIMING Basics</x:v>
      </x:c>
      <x:c r="D258" s="5" t="str">
        <x:v>https://cdn.shopify.com/s/files/1/0338/3269/files/The_Complete_Guide_to_Protein.pdf?6963183</x:v>
      </x:c>
      <x:c r="E258" s="5" t="str">
        <x:v>cdn.shopify.com</x:v>
      </x:c>
      <x:c r="F258" s="5" t="str">
        <x:v>其他网页</x:v>
      </x:c>
      <x:c r="G258" s="5" t="str">
        <x:v>否</x:v>
      </x:c>
      <x:c r="H258" s="5" t="str">
        <x:v>Keep、赛霸/小赛同学、京东京造、ALLKEEP、康比特、ON/欧普特蒙、肌肉科技</x:v>
      </x:c>
      <x:c r="I258" s="5" t="str">
        <x:v>自然</x:v>
      </x:c>
      <x:c r="J258" s="5" t="str">
        <x:v>未核实</x:v>
      </x:c>
    </x:row>
    <x:row r="259" ht="27" customHeight="1">
      <x:c r="A259" s="5" t="str">
        <x:v>豆包</x:v>
      </x:c>
      <x:c r="B259" s="5" t="str">
        <x:v>Q12</x:v>
      </x:c>
      <x:c r="C259" s="5" t="str">
        <x:v>12. 说说你们心中的大学生蛋白粉排行榜 #蛋白粉#大学生#健身</x:v>
      </x:c>
      <x:c r="D259" s="5" t="str">
        <x:v>https://www.iesdouyin.com/share/video/7517232275587632422</x:v>
      </x:c>
      <x:c r="E259" s="5" t="str">
        <x:v>iesdouyin.com</x:v>
      </x:c>
      <x:c r="F259" s="5" t="str">
        <x:v>UGC/视频/公众号</x:v>
      </x:c>
      <x:c r="G259" s="5" t="str">
        <x:v>否</x:v>
      </x:c>
      <x:c r="H259" s="5" t="str">
        <x:v>Keep、赛霸/小赛同学、京东京造、ALLKEEP、康比特、ON/欧普特蒙、肌肉科技</x:v>
      </x:c>
      <x:c r="I259" s="5" t="str">
        <x:v>自然</x:v>
      </x:c>
      <x:c r="J259" s="5" t="str">
        <x:v>未核实</x:v>
      </x:c>
    </x:row>
    <x:row r="260" ht="27" customHeight="1">
      <x:c r="A260" s="5" t="str">
        <x:v>豆包</x:v>
      </x:c>
      <x:c r="B260" s="5" t="str">
        <x:v>Q13</x:v>
      </x:c>
      <x:c r="C260" s="5" t="str">
        <x:v>1. 蛋白粉从夯到拉实力排行#蛋白粉 #从夯到拉 #康比特</x:v>
      </x:c>
      <x:c r="D260" s="5" t="str">
        <x:v>https://www.iesdouyin.com/share/video/7678581412957521890</x:v>
      </x:c>
      <x:c r="E260" s="5" t="str">
        <x:v>iesdouyin.com</x:v>
      </x:c>
      <x:c r="F260" s="5" t="str">
        <x:v>UGC/视频/公众号</x:v>
      </x:c>
      <x:c r="G260" s="5" t="str">
        <x:v>是</x:v>
      </x:c>
      <x:c r="H260" s="5" t="str">
        <x:v>怡可纳、赛霸/小赛同学、康比特、Myprotein、ON/欧普特蒙</x:v>
      </x:c>
      <x:c r="I260" s="5" t="str">
        <x:v>自然</x:v>
      </x:c>
      <x:c r="J260" s="5" t="str">
        <x:v>未核实</x:v>
      </x:c>
    </x:row>
    <x:row r="261" ht="27" customHeight="1">
      <x:c r="A261" s="5" t="str">
        <x:v>豆包</x:v>
      </x:c>
      <x:c r="B261" s="5" t="str">
        <x:v>Q13</x:v>
      </x:c>
      <x:c r="C261" s="5" t="str">
        <x:v>2. 自费空桶测评6款热门蛋白粉，无广告纯真实体验！ 从封神好喝到踩雷难喝，口味、口感一次性说透 牛肉蛋白、乳清、酵母蛋白全覆盖，选粉不纠结～#健身 #蛋白粉测评 #蛋白粉 #酵母蛋白</x:v>
      </x:c>
      <x:c r="D261" s="5" t="str">
        <x:v>https://www.iesdouyin.com/share/video/7624104708168598194</x:v>
      </x:c>
      <x:c r="E261" s="5" t="str">
        <x:v>iesdouyin.com</x:v>
      </x:c>
      <x:c r="F261" s="5" t="str">
        <x:v>UGC/视频/公众号</x:v>
      </x:c>
      <x:c r="G261" s="5" t="str">
        <x:v>是</x:v>
      </x:c>
      <x:c r="H261" s="5" t="str">
        <x:v>怡可纳、赛霸/小赛同学、康比特、Myprotein、ON/欧普特蒙</x:v>
      </x:c>
      <x:c r="I261" s="5" t="str">
        <x:v>自然</x:v>
      </x:c>
      <x:c r="J261" s="5" t="str">
        <x:v>未核实</x:v>
      </x:c>
    </x:row>
    <x:row r="262" ht="27" customHeight="1">
      <x:c r="A262" s="5" t="str">
        <x:v>豆包</x:v>
      </x:c>
      <x:c r="B262" s="5" t="str">
        <x:v>Q13</x:v>
      </x:c>
      <x:c r="C262" s="5" t="str">
        <x:v>3. 最后一期穷哥们蛋白粉推荐 A43:同品类里面还有更便宜的吧？没有了。混合蛋白疯狂爆雷，各位最近一定要小心。但是赛霸的那款八磅的400多块钱还是很不错的，作为蛋白质的补充没问题。当去年囤的原料卖完，经销</x:v>
      </x:c>
      <x:c r="D262" s="5" t="str">
        <x:v>https://www.iesdouyin.com/share/video/7674212791776066683</x:v>
      </x:c>
      <x:c r="E262" s="5" t="str">
        <x:v>iesdouyin.com</x:v>
      </x:c>
      <x:c r="F262" s="5" t="str">
        <x:v>UGC/视频/公众号</x:v>
      </x:c>
      <x:c r="G262" s="5" t="str">
        <x:v>是</x:v>
      </x:c>
      <x:c r="H262" s="5" t="str">
        <x:v>怡可纳、赛霸/小赛同学、康比特、Myprotein、ON/欧普特蒙</x:v>
      </x:c>
      <x:c r="I262" s="5" t="str">
        <x:v>自然</x:v>
      </x:c>
      <x:c r="J262" s="5" t="str">
        <x:v>未核实</x:v>
      </x:c>
    </x:row>
    <x:row r="263" ht="27" customHeight="1">
      <x:c r="A263" s="5" t="str">
        <x:v>豆包</x:v>
      </x:c>
      <x:c r="B263" s="5" t="str">
        <x:v>Q13</x:v>
      </x:c>
      <x:c r="C263" s="5" t="str">
        <x:v>4. 蛋白粉 怎么 选 ？ 妥妥 兄弟 们 快乐 粉 啊 ！ 一定 要 把握 好 # 怡 可 纳 酵母 蛋白粉 # 健身 补剂</x:v>
      </x:c>
      <x:c r="D263" s="5" t="str">
        <x:v>https://www.iesdouyin.com/share/video/7669756460344124601</x:v>
      </x:c>
      <x:c r="E263" s="5" t="str">
        <x:v>iesdouyin.com</x:v>
      </x:c>
      <x:c r="F263" s="5" t="str">
        <x:v>UGC/视频/公众号</x:v>
      </x:c>
      <x:c r="G263" s="5" t="str">
        <x:v>是</x:v>
      </x:c>
      <x:c r="H263" s="5" t="str">
        <x:v>怡可纳、赛霸/小赛同学、康比特、Myprotein、ON/欧普特蒙</x:v>
      </x:c>
      <x:c r="I263" s="5" t="str">
        <x:v>自然</x:v>
      </x:c>
      <x:c r="J263" s="5" t="str">
        <x:v>未核实</x:v>
      </x:c>
    </x:row>
    <x:row r="264" ht="27" customHeight="1">
      <x:c r="A264" s="5" t="str">
        <x:v>豆包</x:v>
      </x:c>
      <x:c r="B264" s="5" t="str">
        <x:v>Q13</x:v>
      </x:c>
      <x:c r="C264" s="5" t="str">
        <x:v>5. 蛋白粉分享测评 #健身 #蛋白粉 #蛋白粉推荐</x:v>
      </x:c>
      <x:c r="D264" s="5" t="str">
        <x:v>https://www.iesdouyin.com/share/video/7647929002431475449</x:v>
      </x:c>
      <x:c r="E264" s="5" t="str">
        <x:v>iesdouyin.com</x:v>
      </x:c>
      <x:c r="F264" s="5" t="str">
        <x:v>UGC/视频/公众号</x:v>
      </x:c>
      <x:c r="G264" s="5" t="str">
        <x:v>是</x:v>
      </x:c>
      <x:c r="H264" s="5" t="str">
        <x:v>怡可纳、赛霸/小赛同学、康比特、Myprotein、ON/欧普特蒙</x:v>
      </x:c>
      <x:c r="I264" s="5" t="str">
        <x:v>自然</x:v>
      </x:c>
      <x:c r="J264" s="5" t="str">
        <x:v>未核实</x:v>
      </x:c>
    </x:row>
    <x:row r="265" ht="27" customHeight="1">
      <x:c r="A265" s="5" t="str">
        <x:v>豆包</x:v>
      </x:c>
      <x:c r="B265" s="5" t="str">
        <x:v>Q13</x:v>
      </x:c>
      <x:c r="C265" s="5" t="str">
        <x:v>6. 留下你现在在喝的蛋白粉 #蛋白粉</x:v>
      </x:c>
      <x:c r="D265" s="5" t="str">
        <x:v>https://www.iesdouyin.com/share/video/7653803417106770868</x:v>
      </x:c>
      <x:c r="E265" s="5" t="str">
        <x:v>iesdouyin.com</x:v>
      </x:c>
      <x:c r="F265" s="5" t="str">
        <x:v>UGC/视频/公众号</x:v>
      </x:c>
      <x:c r="G265" s="5" t="str">
        <x:v>是</x:v>
      </x:c>
      <x:c r="H265" s="5" t="str">
        <x:v>怡可纳、赛霸/小赛同学、康比特、Myprotein、ON/欧普特蒙</x:v>
      </x:c>
      <x:c r="I265" s="5" t="str">
        <x:v>自然</x:v>
      </x:c>
      <x:c r="J265" s="5" t="str">
        <x:v>未核实</x:v>
      </x:c>
    </x:row>
    <x:row r="266" ht="27" customHeight="1">
      <x:c r="A266" s="5" t="str">
        <x:v>豆包</x:v>
      </x:c>
      <x:c r="B266" s="5" t="str">
        <x:v>Q13</x:v>
      </x:c>
      <x:c r="C266" s="5" t="str">
        <x:v>7. 蛋白粉从夯到拉 #锐评 #健身 #蛋白粉测评 #520 #FoYes热练玫瑰限定回归</x:v>
      </x:c>
      <x:c r="D266" s="5" t="str">
        <x:v>https://www.iesdouyin.com/share/video/7641547765676147557</x:v>
      </x:c>
      <x:c r="E266" s="5" t="str">
        <x:v>iesdouyin.com</x:v>
      </x:c>
      <x:c r="F266" s="5" t="str">
        <x:v>UGC/视频/公众号</x:v>
      </x:c>
      <x:c r="G266" s="5" t="str">
        <x:v>是</x:v>
      </x:c>
      <x:c r="H266" s="5" t="str">
        <x:v>怡可纳、赛霸/小赛同学、康比特、Myprotein、ON/欧普特蒙</x:v>
      </x:c>
      <x:c r="I266" s="5" t="str">
        <x:v>自然</x:v>
      </x:c>
      <x:c r="J266" s="5" t="str">
        <x:v>未核实</x:v>
      </x:c>
    </x:row>
    <x:row r="267" ht="27" customHeight="1">
      <x:c r="A267" s="5" t="str">
        <x:v>豆包</x:v>
      </x:c>
      <x:c r="B267" s="5" t="str">
        <x:v>Q13</x:v>
      </x:c>
      <x:c r="C267" s="5" t="str">
        <x:v>8. 起因是我喝到了网上推荐好喝但自己觉得难以下咽的蛋白粉，想把我喝过的蛋白粉口味做下简评供大家参考。声明一下： 1.个人口味仅供参考，意见不同可以在评论区发表看法。 2.一般而言，分离乳清比较清爽，价格最</x:v>
      </x:c>
      <x:c r="D267" s="5" t="str">
        <x:v>https://www.iesdouyin.com/share/video/7657518487837213114</x:v>
      </x:c>
      <x:c r="E267" s="5" t="str">
        <x:v>iesdouyin.com</x:v>
      </x:c>
      <x:c r="F267" s="5" t="str">
        <x:v>UGC/视频/公众号</x:v>
      </x:c>
      <x:c r="G267" s="5" t="str">
        <x:v>是</x:v>
      </x:c>
      <x:c r="H267" s="5" t="str">
        <x:v>怡可纳、赛霸/小赛同学、康比特、Myprotein、ON/欧普特蒙</x:v>
      </x:c>
      <x:c r="I267" s="5" t="str">
        <x:v>自然</x:v>
      </x:c>
      <x:c r="J267" s="5" t="str">
        <x:v>未核实</x:v>
      </x:c>
    </x:row>
    <x:row r="268" ht="27" customHeight="1">
      <x:c r="A268" s="5" t="str">
        <x:v>豆包</x:v>
      </x:c>
      <x:c r="B268" s="5" t="str">
        <x:v>Q13</x:v>
      </x:c>
      <x:c r="C268" s="5" t="str">
        <x:v>9. #蛋白粉 #健身</x:v>
      </x:c>
      <x:c r="D268" s="5" t="str">
        <x:v>https://www.iesdouyin.com/share/video/7516919980191124770</x:v>
      </x:c>
      <x:c r="E268" s="5" t="str">
        <x:v>iesdouyin.com</x:v>
      </x:c>
      <x:c r="F268" s="5" t="str">
        <x:v>UGC/视频/公众号</x:v>
      </x:c>
      <x:c r="G268" s="5" t="str">
        <x:v>是</x:v>
      </x:c>
      <x:c r="H268" s="5" t="str">
        <x:v>怡可纳、赛霸/小赛同学、康比特、Myprotein、ON/欧普特蒙</x:v>
      </x:c>
      <x:c r="I268" s="5" t="str">
        <x:v>自然</x:v>
      </x:c>
      <x:c r="J268" s="5" t="str">
        <x:v>未核实</x:v>
      </x:c>
    </x:row>
    <x:row r="269" ht="27" customHeight="1">
      <x:c r="A269" s="5" t="str">
        <x:v>豆包</x:v>
      </x:c>
      <x:c r="B269" s="5" t="str">
        <x:v>Q13</x:v>
      </x:c>
      <x:c r="C269" s="5" t="str">
        <x:v>10. 我真的宁可喝墙皮 有没有味道清淡甚至没啥味，茶味的蛋白粉，淡淡的就行，快被齁死了#健身日常 #蛋白粉 #不甜 #胰岛素警告</x:v>
      </x:c>
      <x:c r="D269" s="5" t="str">
        <x:v>https://www.iesdouyin.com/share/video/7670544785137419131</x:v>
      </x:c>
      <x:c r="E269" s="5" t="str">
        <x:v>iesdouyin.com</x:v>
      </x:c>
      <x:c r="F269" s="5" t="str">
        <x:v>UGC/视频/公众号</x:v>
      </x:c>
      <x:c r="G269" s="5" t="str">
        <x:v>是</x:v>
      </x:c>
      <x:c r="H269" s="5" t="str">
        <x:v>怡可纳、赛霸/小赛同学、康比特、Myprotein、ON/欧普特蒙</x:v>
      </x:c>
      <x:c r="I269" s="5" t="str">
        <x:v>自然</x:v>
      </x:c>
      <x:c r="J269" s="5" t="str">
        <x:v>未核实</x:v>
      </x:c>
    </x:row>
    <x:row r="270" ht="27" customHeight="1">
      <x:c r="A270" s="5" t="str">
        <x:v>豆包</x:v>
      </x:c>
      <x:c r="B270" s="5" t="str">
        <x:v>Q13</x:v>
      </x:c>
      <x:c r="C270" s="5" t="str">
        <x:v>11. Page 1 - Reviews - Biochem, 100% Whey Protein Isolate Powder, Natural, 12.3 oz (350 g) - iHerb</x:v>
      </x:c>
      <x:c r="D270" s="5" t="str">
        <x:v>https://jp.iherb.com/r/biochem-100-whey-isolate-protein-natural-12-3-oz-350-g/1804</x:v>
      </x:c>
      <x:c r="E270" s="5" t="str">
        <x:v>jp.iherb.com</x:v>
      </x:c>
      <x:c r="F270" s="5" t="str">
        <x:v>其他网页</x:v>
      </x:c>
      <x:c r="G270" s="5" t="str">
        <x:v>是</x:v>
      </x:c>
      <x:c r="H270" s="5" t="str">
        <x:v>怡可纳、赛霸/小赛同学、康比特、Myprotein、ON/欧普特蒙</x:v>
      </x:c>
      <x:c r="I270" s="5" t="str">
        <x:v>自然</x:v>
      </x:c>
      <x:c r="J270" s="5" t="str">
        <x:v>未核实</x:v>
      </x:c>
    </x:row>
    <x:row r="271" ht="27" customHeight="1">
      <x:c r="A271" s="5" t="str">
        <x:v>豆包</x:v>
      </x:c>
      <x:c r="B271" s="5" t="str">
        <x:v>Q13</x:v>
      </x:c>
      <x:c r="C271" s="5" t="str">
        <x:v>12. 蛋白粉别乱买！乳清、缓释、矩阵蛋白，到底怎么选！ 很多健身新手分不清乳清、缓释、矩阵蛋白，买错浪费钱。#很多健身新手 #蛋白粉怎么选 #蛋白粉怎么选 #健身补剂科普 #健身干货</x:v>
      </x:c>
      <x:c r="D271" s="5" t="str">
        <x:v>https://www.iesdouyin.com/share/video/7688206208372690227</x:v>
      </x:c>
      <x:c r="E271" s="5" t="str">
        <x:v>iesdouyin.com</x:v>
      </x:c>
      <x:c r="F271" s="5" t="str">
        <x:v>UGC/视频/公众号</x:v>
      </x:c>
      <x:c r="G271" s="5" t="str">
        <x:v>是</x:v>
      </x:c>
      <x:c r="H271" s="5" t="str">
        <x:v>怡可纳、赛霸/小赛同学、康比特、Myprotein、ON/欧普特蒙</x:v>
      </x:c>
      <x:c r="I271" s="5" t="str">
        <x:v>自然</x:v>
      </x:c>
      <x:c r="J271" s="5" t="str">
        <x:v>未核实</x:v>
      </x:c>
    </x:row>
    <x:row r="272" ht="27" customHeight="1">
      <x:c r="A272" s="5" t="str">
        <x:v>豆包</x:v>
      </x:c>
      <x:c r="B272" s="5" t="str">
        <x:v>Q13</x:v>
      </x:c>
      <x:c r="C272" s="5" t="str">
        <x:v>13. 9月份蛋白粉推荐 A57:9月份蛋白粉推荐。很多之前推荐的蛋白粉要么涨价了，要么断货了，所以就出了这份9月份蛋白粉推荐，那你现在喝的是什么蛋白粉呢？#蛋白粉 #蛋白粉推荐 #蛋白粉测评 #酵母蛋白 #</x:v>
      </x:c>
      <x:c r="D272" s="5" t="str">
        <x:v>https://www.iesdouyin.com/share/video/7681888051950356465</x:v>
      </x:c>
      <x:c r="E272" s="5" t="str">
        <x:v>iesdouyin.com</x:v>
      </x:c>
      <x:c r="F272" s="5" t="str">
        <x:v>UGC/视频/公众号</x:v>
      </x:c>
      <x:c r="G272" s="5" t="str">
        <x:v>是</x:v>
      </x:c>
      <x:c r="H272" s="5" t="str">
        <x:v>怡可纳、赛霸/小赛同学、康比特、Myprotein、ON/欧普特蒙</x:v>
      </x:c>
      <x:c r="I272" s="5" t="str">
        <x:v>自然</x:v>
      </x:c>
      <x:c r="J272" s="5" t="str">
        <x:v>未核实</x:v>
      </x:c>
    </x:row>
    <x:row r="273" ht="27" customHeight="1">
      <x:c r="A273" s="5" t="str">
        <x:v>豆包</x:v>
      </x:c>
      <x:c r="B273" s="5" t="str">
        <x:v>Q13</x:v>
      </x:c>
      <x:c r="C273" s="5" t="str">
        <x:v>14. 丰力富～原味乳清蛋白粉 喜欢看亮氨酸那就看 恒天然原料 纯浓缩乳清蛋白粉 100g里6.2g亮氨酸 还是临期 更加低了 你们自己想呗 谁爱做产品谁做#亮氨酸 #恒天然 #nzmp #蛋白粉 #健身</x:v>
      </x:c>
      <x:c r="D273" s="5" t="str">
        <x:v>https://www.iesdouyin.com/share/video/7681681648631509989</x:v>
      </x:c>
      <x:c r="E273" s="5" t="str">
        <x:v>iesdouyin.com</x:v>
      </x:c>
      <x:c r="F273" s="5" t="str">
        <x:v>UGC/视频/公众号</x:v>
      </x:c>
      <x:c r="G273" s="5" t="str">
        <x:v>是</x:v>
      </x:c>
      <x:c r="H273" s="5" t="str">
        <x:v>怡可纳、赛霸/小赛同学、康比特、Myprotein、ON/欧普特蒙</x:v>
      </x:c>
      <x:c r="I273" s="5" t="str">
        <x:v>自然</x:v>
      </x:c>
      <x:c r="J273" s="5" t="str">
        <x:v>未核实</x:v>
      </x:c>
    </x:row>
    <x:row r="274" ht="27" customHeight="1">
      <x:c r="A274" s="5" t="str">
        <x:v>豆包</x:v>
      </x:c>
      <x:c r="B274" s="5" t="str">
        <x:v>Q13</x:v>
      </x:c>
      <x:c r="C274" s="5" t="str">
        <x:v>15. 不会 选 蛋白粉 的 兄弟 看 过来 ！ # 蛋白粉 # 健身 补剂 # 增 肌 # 健身 小白 必 看 经验</x:v>
      </x:c>
      <x:c r="D274" s="5" t="str">
        <x:v>https://www.iesdouyin.com/share/video/7673777515295126769</x:v>
      </x:c>
      <x:c r="E274" s="5" t="str">
        <x:v>iesdouyin.com</x:v>
      </x:c>
      <x:c r="F274" s="5" t="str">
        <x:v>UGC/视频/公众号</x:v>
      </x:c>
      <x:c r="G274" s="5" t="str">
        <x:v>是</x:v>
      </x:c>
      <x:c r="H274" s="5" t="str">
        <x:v>怡可纳、赛霸/小赛同学、康比特、Myprotein、ON/欧普特蒙</x:v>
      </x:c>
      <x:c r="I274" s="5" t="str">
        <x:v>自然</x:v>
      </x:c>
      <x:c r="J274" s="5" t="str">
        <x:v>未核实</x:v>
      </x:c>
    </x:row>
    <x:row r="275" ht="27" customHeight="1">
      <x:c r="A275" s="5" t="str">
        <x:v>豆包</x:v>
      </x:c>
      <x:c r="B275" s="5" t="str">
        <x:v>Q13</x:v>
      </x:c>
      <x:c r="C275" s="5" t="str">
        <x:v>16. 大豆分离蛋白是优质蛋白 妥妥的完全蛋白质#蛋白粉 #蛋白质 #健身饮食 #大豆分离蛋白 #健身补剂</x:v>
      </x:c>
      <x:c r="D275" s="5" t="str">
        <x:v>https://www.iesdouyin.com/share/video/7674939664159845750</x:v>
      </x:c>
      <x:c r="E275" s="5" t="str">
        <x:v>iesdouyin.com</x:v>
      </x:c>
      <x:c r="F275" s="5" t="str">
        <x:v>UGC/视频/公众号</x:v>
      </x:c>
      <x:c r="G275" s="5" t="str">
        <x:v>是</x:v>
      </x:c>
      <x:c r="H275" s="5" t="str">
        <x:v>怡可纳、赛霸/小赛同学、康比特、Myprotein、ON/欧普特蒙</x:v>
      </x:c>
      <x:c r="I275" s="5" t="str">
        <x:v>自然</x:v>
      </x:c>
      <x:c r="J275" s="5" t="str">
        <x:v>未核实</x:v>
      </x:c>
    </x:row>
    <x:row r="276" ht="27" customHeight="1">
      <x:c r="A276" s="5" t="str">
        <x:v>豆包</x:v>
      </x:c>
      <x:c r="B276" s="5" t="str">
        <x:v>Q13</x:v>
      </x:c>
      <x:c r="C276" s="5" t="str">
        <x:v>17. 锐评酵母蛋白粉（1） R2:酵母蛋白粉出来时间久了，可以说是百花齐放，每家都对于酵母蛋白有一些自己的理解，但是大家都是摸着怡可纳过河，然后竟然有很多做的比怡可纳还有特色。但是，酵母蛋白，还是要从试用装</x:v>
      </x:c>
      <x:c r="D276" s="5" t="str">
        <x:v>https://www.iesdouyin.com/share/video/7687082340167165093</x:v>
      </x:c>
      <x:c r="E276" s="5" t="str">
        <x:v>iesdouyin.com</x:v>
      </x:c>
      <x:c r="F276" s="5" t="str">
        <x:v>UGC/视频/公众号</x:v>
      </x:c>
      <x:c r="G276" s="5" t="str">
        <x:v>是</x:v>
      </x:c>
      <x:c r="H276" s="5" t="str">
        <x:v>怡可纳、赛霸/小赛同学、康比特、Myprotein、ON/欧普特蒙</x:v>
      </x:c>
      <x:c r="I276" s="5" t="str">
        <x:v>自然</x:v>
      </x:c>
      <x:c r="J276" s="5" t="str">
        <x:v>未核实</x:v>
      </x:c>
    </x:row>
    <x:row r="277" ht="27" customHeight="1">
      <x:c r="A277" s="5" t="str">
        <x:v>豆包</x:v>
      </x:c>
      <x:c r="B277" s="5" t="str">
        <x:v>Q14</x:v>
      </x:c>
      <x:c r="C277" s="5" t="str">
        <x:v>1. 锐评酵母蛋白粉（1） R2:酵母蛋白粉出来时间久了，可以说是百花齐放，每家都对于酵母蛋白有一些自己的理解，但是大家都是摸着怡可纳过河，然后竟然有很多做的比怡可纳还有特色。但是，酵母蛋白，还是要从试用装</x:v>
      </x:c>
      <x:c r="D277" s="5" t="str">
        <x:v>https://www.iesdouyin.com/share/video/7687082340167165093</x:v>
      </x:c>
      <x:c r="E277" s="5" t="str">
        <x:v>iesdouyin.com</x:v>
      </x:c>
      <x:c r="F277" s="5" t="str">
        <x:v>UGC/视频/公众号</x:v>
      </x:c>
      <x:c r="G277" s="5" t="str">
        <x:v>是</x:v>
      </x:c>
      <x:c r="H277" s="5" t="str">
        <x:v>怡可纳、概特/盖特、BD能量、ALLKEEP、南巨、英之素</x:v>
      </x:c>
      <x:c r="I277" s="5" t="str">
        <x:v>自然</x:v>
      </x:c>
      <x:c r="J277" s="5" t="str">
        <x:v>未核实</x:v>
      </x:c>
    </x:row>
    <x:row r="278" ht="27" customHeight="1">
      <x:c r="A278" s="5" t="str">
        <x:v>豆包</x:v>
      </x:c>
      <x:c r="B278" s="5" t="str">
        <x:v>Q14</x:v>
      </x:c>
      <x:c r="C278" s="5" t="str">
        <x:v>2. 依旧快速锐评各大品牌酵母蛋白2.0，从夯到拉。 #酵母蛋白粉 #AllKeep #怡可纳 #米当卡 #BD</x:v>
      </x:c>
      <x:c r="D278" s="5" t="str">
        <x:v>https://www.iesdouyin.com/share/video/7665706506687862138</x:v>
      </x:c>
      <x:c r="E278" s="5" t="str">
        <x:v>iesdouyin.com</x:v>
      </x:c>
      <x:c r="F278" s="5" t="str">
        <x:v>UGC/视频/公众号</x:v>
      </x:c>
      <x:c r="G278" s="5" t="str">
        <x:v>是</x:v>
      </x:c>
      <x:c r="H278" s="5" t="str">
        <x:v>怡可纳、概特/盖特、BD能量、ALLKEEP、南巨、英之素</x:v>
      </x:c>
      <x:c r="I278" s="5" t="str">
        <x:v>自然</x:v>
      </x:c>
      <x:c r="J278" s="5" t="str">
        <x:v>未核实</x:v>
      </x:c>
    </x:row>
    <x:row r="279" ht="27" customHeight="1">
      <x:c r="A279" s="5" t="str">
        <x:v>豆包</x:v>
      </x:c>
      <x:c r="B279" s="5" t="str">
        <x:v>Q14</x:v>
      </x:c>
      <x:c r="C279" s="5" t="str">
        <x:v>3. 6月19日 酵母蛋白粉的一个测评，希望能帮助你 目前已经入手了赛霸的酵母蛋白粉了，后续出一个测评视频 #蛋白粉 #酵母蛋白粉 #健身</x:v>
      </x:c>
      <x:c r="D279" s="5" t="str">
        <x:v>https://www.iesdouyin.com/share/video/7652970278221368612</x:v>
      </x:c>
      <x:c r="E279" s="5" t="str">
        <x:v>iesdouyin.com</x:v>
      </x:c>
      <x:c r="F279" s="5" t="str">
        <x:v>UGC/视频/公众号</x:v>
      </x:c>
      <x:c r="G279" s="5" t="str">
        <x:v>是</x:v>
      </x:c>
      <x:c r="H279" s="5" t="str">
        <x:v>怡可纳、概特/盖特、BD能量、ALLKEEP、南巨、英之素</x:v>
      </x:c>
      <x:c r="I279" s="5" t="str">
        <x:v>自然</x:v>
      </x:c>
      <x:c r="J279" s="5" t="str">
        <x:v>未核实</x:v>
      </x:c>
    </x:row>
    <x:row r="280" ht="27" customHeight="1">
      <x:c r="A280" s="5" t="str">
        <x:v>豆包</x:v>
      </x:c>
      <x:c r="B280" s="5" t="str">
        <x:v>Q14</x:v>
      </x:c>
      <x:c r="C280" s="5" t="str">
        <x:v>4. 【从夯到拉】酵母蛋白粉按照营养成分和配料排行(1) 没有说明具体原料就是80原料，没有说是运动营养食品就是固体饮料 下期见合集 #酵母蛋白 #酵母蛋白粉 #蛋白粉 #蛋白质 #蛋白粉推荐</x:v>
      </x:c>
      <x:c r="D280" s="5" t="str">
        <x:v>https://www.iesdouyin.com/share/video/7610427454272629689</x:v>
      </x:c>
      <x:c r="E280" s="5" t="str">
        <x:v>iesdouyin.com</x:v>
      </x:c>
      <x:c r="F280" s="5" t="str">
        <x:v>UGC/视频/公众号</x:v>
      </x:c>
      <x:c r="G280" s="5" t="str">
        <x:v>是</x:v>
      </x:c>
      <x:c r="H280" s="5" t="str">
        <x:v>怡可纳、概特/盖特、BD能量、ALLKEEP、南巨、英之素</x:v>
      </x:c>
      <x:c r="I280" s="5" t="str">
        <x:v>自然</x:v>
      </x:c>
      <x:c r="J280" s="5" t="str">
        <x:v>未核实</x:v>
      </x:c>
    </x:row>
    <x:row r="281" ht="27" customHeight="1">
      <x:c r="A281" s="5" t="str">
        <x:v>豆包</x:v>
      </x:c>
      <x:c r="B281" s="5" t="str">
        <x:v>Q14</x:v>
      </x:c>
      <x:c r="C281" s="5" t="str">
        <x:v>5. 锐评各种酵母蛋白粉#酵母蛋白 #蛋白粉 #健身</x:v>
      </x:c>
      <x:c r="D281" s="5" t="str">
        <x:v>https://www.iesdouyin.com/share/video/7591801622151047795</x:v>
      </x:c>
      <x:c r="E281" s="5" t="str">
        <x:v>iesdouyin.com</x:v>
      </x:c>
      <x:c r="F281" s="5" t="str">
        <x:v>UGC/视频/公众号</x:v>
      </x:c>
      <x:c r="G281" s="5" t="str">
        <x:v>是</x:v>
      </x:c>
      <x:c r="H281" s="5" t="str">
        <x:v>怡可纳、概特/盖特、BD能量、ALLKEEP、南巨、英之素</x:v>
      </x:c>
      <x:c r="I281" s="5" t="str">
        <x:v>自然</x:v>
      </x:c>
      <x:c r="J281" s="5" t="str">
        <x:v>未核实</x:v>
      </x:c>
    </x:row>
    <x:row r="282" ht="27" customHeight="1">
      <x:c r="A282" s="5" t="str">
        <x:v>豆包</x:v>
      </x:c>
      <x:c r="B282" s="5" t="str">
        <x:v>Q14</x:v>
      </x:c>
      <x:c r="C282" s="5" t="str">
        <x:v>6. 酵母蛋白个人分享。我前前后后喝过不少酵母蛋白，刷了好多券之后入手价格特别划算。提醒下大家别买五磅装的，量大很容易喝腻，最后剩大半罐好浪费。</x:v>
      </x:c>
      <x:c r="D282" s="5" t="str">
        <x:v>https://www.iesdouyin.com/share/video/7683738591008617062</x:v>
      </x:c>
      <x:c r="E282" s="5" t="str">
        <x:v>iesdouyin.com</x:v>
      </x:c>
      <x:c r="F282" s="5" t="str">
        <x:v>UGC/视频/公众号</x:v>
      </x:c>
      <x:c r="G282" s="5" t="str">
        <x:v>是</x:v>
      </x:c>
      <x:c r="H282" s="5" t="str">
        <x:v>怡可纳、概特/盖特、BD能量、ALLKEEP、南巨、英之素</x:v>
      </x:c>
      <x:c r="I282" s="5" t="str">
        <x:v>自然</x:v>
      </x:c>
      <x:c r="J282" s="5" t="str">
        <x:v>未核实</x:v>
      </x:c>
    </x:row>
    <x:row r="283" ht="27" customHeight="1">
      <x:c r="A283" s="5" t="str">
        <x:v>豆包</x:v>
      </x:c>
      <x:c r="B283" s="5" t="str">
        <x:v>Q14</x:v>
      </x:c>
      <x:c r="C283" s="5" t="str">
        <x:v>7. 无广200块钱买蛋白粉 200块钱以内肯定毫无悬念是酵母蛋白的天下，在这里，你可以按照自己的需求，选择自己喜欢的和更偏好的。这些品牌它都有试用装，所以你可以最低成本的试错，因为毕竟有些人还是不太喜欢酵母蛋白的性状口感这些。价格为终端的参考售价。#蛋白粉 #酵母蛋白 #蛋白粉推荐 #蛋白粉测评 #酵母蛋白粉</x:v>
      </x:c>
      <x:c r="D283" s="5" t="str">
        <x:v>https://www.iesdouyin.com/share/video/7650082186632582897</x:v>
      </x:c>
      <x:c r="E283" s="5" t="str">
        <x:v>iesdouyin.com</x:v>
      </x:c>
      <x:c r="F283" s="5" t="str">
        <x:v>UGC/视频/公众号</x:v>
      </x:c>
      <x:c r="G283" s="5" t="str">
        <x:v>是</x:v>
      </x:c>
      <x:c r="H283" s="5" t="str">
        <x:v>怡可纳、概特/盖特、BD能量、ALLKEEP、南巨、英之素</x:v>
      </x:c>
      <x:c r="I283" s="5" t="str">
        <x:v>自然</x:v>
      </x:c>
      <x:c r="J283" s="5" t="str">
        <x:v>未核实</x:v>
      </x:c>
    </x:row>
    <x:row r="284" ht="27" customHeight="1">
      <x:c r="A284" s="5" t="str">
        <x:v>豆包</x:v>
      </x:c>
      <x:c r="B284" s="5" t="str">
        <x:v>Q14</x:v>
      </x:c>
      <x:c r="C284" s="5" t="str">
        <x:v>8. 最最最新新新新新版酵母蛋白锐评，蛋白粉原料涨价了，就喝点补充没这么好的酵母蛋白吧 #锐评 #从夯到拉 #酵母蛋白粉 #酵母蛋白 #蛋白粉原料涨价</x:v>
      </x:c>
      <x:c r="D284" s="5" t="str">
        <x:v>https://www.iesdouyin.com/share/video/7674269962890835179</x:v>
      </x:c>
      <x:c r="E284" s="5" t="str">
        <x:v>iesdouyin.com</x:v>
      </x:c>
      <x:c r="F284" s="5" t="str">
        <x:v>UGC/视频/公众号</x:v>
      </x:c>
      <x:c r="G284" s="5" t="str">
        <x:v>是</x:v>
      </x:c>
      <x:c r="H284" s="5" t="str">
        <x:v>怡可纳、概特/盖特、BD能量、ALLKEEP、南巨、英之素</x:v>
      </x:c>
      <x:c r="I284" s="5" t="str">
        <x:v>自然</x:v>
      </x:c>
      <x:c r="J284" s="5" t="str">
        <x:v>未核实</x:v>
      </x:c>
    </x:row>
    <x:row r="285" ht="27" customHeight="1">
      <x:c r="A285" s="5" t="str">
        <x:v>豆包</x:v>
      </x:c>
      <x:c r="B285" s="5" t="str">
        <x:v>Q14</x:v>
      </x:c>
      <x:c r="C285" s="5" t="str">
        <x:v>9. 【从夯到拉】酵母蛋白粉按营养成分表和配料表排行(3) 没有说明具体原料就是80原料，没有说是运动营养食品就是固体饮料 下期见合集 #酵母蛋白 #蛋白粉 #蛋白粉推荐 #从夯到拉 #蛋白质</x:v>
      </x:c>
      <x:c r="D285" s="5" t="str">
        <x:v>https://www.iesdouyin.com/share/video/7613246962205726907</x:v>
      </x:c>
      <x:c r="E285" s="5" t="str">
        <x:v>iesdouyin.com</x:v>
      </x:c>
      <x:c r="F285" s="5" t="str">
        <x:v>UGC/视频/公众号</x:v>
      </x:c>
      <x:c r="G285" s="5" t="str">
        <x:v>是</x:v>
      </x:c>
      <x:c r="H285" s="5" t="str">
        <x:v>怡可纳、概特/盖特、BD能量、ALLKEEP、南巨、英之素</x:v>
      </x:c>
      <x:c r="I285" s="5" t="str">
        <x:v>自然</x:v>
      </x:c>
      <x:c r="J285" s="5" t="str">
        <x:v>未核实</x:v>
      </x:c>
    </x:row>
    <x:row r="286" ht="27" customHeight="1">
      <x:c r="A286" s="5" t="str">
        <x:v>豆包</x:v>
      </x:c>
      <x:c r="B286" s="5" t="str">
        <x:v>Q14</x:v>
      </x:c>
      <x:c r="C286" s="5" t="str">
        <x:v>10. 酵母蛋白粉的优缺点 看完你就明白了。酵母蛋白粉最近很火，最大的优势确实是便宜，尤其现在乳清蛋白价格偏高，它很容易让人心动。但便宜不等于更适合所有人，吸收利用率、嘌呤/核酸、口感和检测透明度，都得一起看</x:v>
      </x:c>
      <x:c r="D286" s="5" t="str">
        <x:v>https://www.iesdouyin.com/share/video/7639914609164034801</x:v>
      </x:c>
      <x:c r="E286" s="5" t="str">
        <x:v>iesdouyin.com</x:v>
      </x:c>
      <x:c r="F286" s="5" t="str">
        <x:v>UGC/视频/公众号</x:v>
      </x:c>
      <x:c r="G286" s="5" t="str">
        <x:v>是</x:v>
      </x:c>
      <x:c r="H286" s="5" t="str">
        <x:v>怡可纳、概特/盖特、BD能量、ALLKEEP、南巨、英之素</x:v>
      </x:c>
      <x:c r="I286" s="5" t="str">
        <x:v>自然</x:v>
      </x:c>
      <x:c r="J286" s="5" t="str">
        <x:v>未核实</x:v>
      </x:c>
    </x:row>
    <x:row r="287" ht="27" customHeight="1">
      <x:c r="A287" s="5" t="str">
        <x:v>豆包</x:v>
      </x:c>
      <x:c r="B287" s="5" t="str">
        <x:v>Q14</x:v>
      </x:c>
      <x:c r="C287" s="5" t="str">
        <x:v>11. 做补剂 7 年，我敢说 90% 买酵母蛋白粉的人，都踩过这 3 个坑！别再花大价钱买回去大半是糖水了，买之前对照这 3 点挨个核对，绝对不花冤枉钱。#蛋白粉 #新手健身 #健身干货</x:v>
      </x:c>
      <x:c r="D287" s="5" t="str">
        <x:v>https://www.iesdouyin.com/share/video/7666805479318670523</x:v>
      </x:c>
      <x:c r="E287" s="5" t="str">
        <x:v>iesdouyin.com</x:v>
      </x:c>
      <x:c r="F287" s="5" t="str">
        <x:v>UGC/视频/公众号</x:v>
      </x:c>
      <x:c r="G287" s="5" t="str">
        <x:v>是</x:v>
      </x:c>
      <x:c r="H287" s="5" t="str">
        <x:v>怡可纳、概特/盖特、BD能量、ALLKEEP、南巨、英之素</x:v>
      </x:c>
      <x:c r="I287" s="5" t="str">
        <x:v>自然</x:v>
      </x:c>
      <x:c r="J287" s="5" t="str">
        <x:v>未核实</x:v>
      </x:c>
    </x:row>
    <x:row r="288" ht="27" customHeight="1">
      <x:c r="A288" s="5" t="str">
        <x:v>豆包</x:v>
      </x:c>
      <x:c r="B288" s="5" t="str">
        <x:v>Q14</x:v>
      </x:c>
      <x:c r="C288" s="5" t="str">
        <x:v>12. 一条视频教会你酵母蛋白怎么买（纯个人观点） #酵母蛋白粉 #蛋白粉 #蛋白粉推荐 #健身 #健身补剂</x:v>
      </x:c>
      <x:c r="D288" s="5" t="str">
        <x:v>https://www.iesdouyin.com/share/video/7628914155789707963</x:v>
      </x:c>
      <x:c r="E288" s="5" t="str">
        <x:v>iesdouyin.com</x:v>
      </x:c>
      <x:c r="F288" s="5" t="str">
        <x:v>UGC/视频/公众号</x:v>
      </x:c>
      <x:c r="G288" s="5" t="str">
        <x:v>是</x:v>
      </x:c>
      <x:c r="H288" s="5" t="str">
        <x:v>怡可纳、概特/盖特、BD能量、ALLKEEP、南巨、英之素</x:v>
      </x:c>
      <x:c r="I288" s="5" t="str">
        <x:v>自然</x:v>
      </x:c>
      <x:c r="J288" s="5" t="str">
        <x:v>未核实</x:v>
      </x:c>
    </x:row>
    <x:row r="289" ht="27" customHeight="1">
      <x:c r="A289" s="5" t="str">
        <x:v>豆包</x:v>
      </x:c>
      <x:c r="B289" s="5" t="str">
        <x:v>Q14</x:v>
      </x:c>
      <x:c r="C289" s="5" t="str">
        <x:v>13. 酵母蛋白怎么选才能避坑 A33:酵母蛋白怎么选才能避坑，因为很多人对于酵母蛋白还是不接受，那就先选择试用装，然后尽量选择谷物的口味，比如说绿豆，红豆，可可，核桃奶之类的口味，尽量避开水果的调味，就能最大程度的避坑。#酵母蛋白 #蛋白粉 #蛋白粉推荐 #蛋白粉测评 #酵母蛋白粉</x:v>
      </x:c>
      <x:c r="D289" s="5" t="str">
        <x:v>https://www.iesdouyin.com/share/video/7671632618266690225</x:v>
      </x:c>
      <x:c r="E289" s="5" t="str">
        <x:v>iesdouyin.com</x:v>
      </x:c>
      <x:c r="F289" s="5" t="str">
        <x:v>UGC/视频/公众号</x:v>
      </x:c>
      <x:c r="G289" s="5" t="str">
        <x:v>是</x:v>
      </x:c>
      <x:c r="H289" s="5" t="str">
        <x:v>怡可纳、概特/盖特、BD能量、ALLKEEP、南巨、英之素</x:v>
      </x:c>
      <x:c r="I289" s="5" t="str">
        <x:v>自然</x:v>
      </x:c>
      <x:c r="J289" s="5" t="str">
        <x:v>未核实</x:v>
      </x:c>
    </x:row>
    <x:row r="290" ht="27" customHeight="1">
      <x:c r="A290" s="5" t="str">
        <x:v>豆包</x:v>
      </x:c>
      <x:c r="B290" s="5" t="str">
        <x:v>Q14</x:v>
      </x:c>
      <x:c r="C290" s="5" t="str">
        <x:v>14. 三步教你选对酵母蛋白粉，再也不踩坑！ #魔法黑钻 #酵母蛋白粉 #蛋白粉推荐 #健身 #运动健身</x:v>
      </x:c>
      <x:c r="D290" s="5" t="str">
        <x:v>https://www.iesdouyin.com/share/video/7671217680922168975</x:v>
      </x:c>
      <x:c r="E290" s="5" t="str">
        <x:v>iesdouyin.com</x:v>
      </x:c>
      <x:c r="F290" s="5" t="str">
        <x:v>UGC/视频/公众号</x:v>
      </x:c>
      <x:c r="G290" s="5" t="str">
        <x:v>是</x:v>
      </x:c>
      <x:c r="H290" s="5" t="str">
        <x:v>怡可纳、概特/盖特、BD能量、ALLKEEP、南巨、英之素</x:v>
      </x:c>
      <x:c r="I290" s="5" t="str">
        <x:v>自然</x:v>
      </x:c>
      <x:c r="J290" s="5" t="str">
        <x:v>未核实</x:v>
      </x:c>
    </x:row>
    <x:row r="291" ht="27" customHeight="1">
      <x:c r="A291" s="5" t="str">
        <x:v>豆包</x:v>
      </x:c>
      <x:c r="B291" s="5" t="str">
        <x:v>Q15</x:v>
      </x:c>
      <x:c r="C291" s="5" t="str">
        <x:v>1. 很多健身朋友选补剂，只看价格、只信网红推荐。 其实康比特贵一点点，贵在品控更严、更安全，贵在吸收率更高。 同样一勺粉，吸收更好不浪费，乳糖不耐也能喝。 专为中国人定制，不照搬欧美配方，更适合国人体质！</x:v>
      </x:c>
      <x:c r="D291" s="5" t="str">
        <x:v>https://www.iesdouyin.com/share/video/7671960136793797504</x:v>
      </x:c>
      <x:c r="E291" s="5" t="str">
        <x:v>iesdouyin.com</x:v>
      </x:c>
      <x:c r="F291" s="5" t="str">
        <x:v>UGC/视频/公众号</x:v>
      </x:c>
      <x:c r="G291" s="5" t="str">
        <x:v>是</x:v>
      </x:c>
      <x:c r="H291" s="5" t="str">
        <x:v>怡可纳、赛霸/小赛同学、康比特、诺特兰德、训练怪兽、迈胜、紫光优健</x:v>
      </x:c>
      <x:c r="I291" s="5" t="str">
        <x:v>自然</x:v>
      </x:c>
      <x:c r="J291" s="5" t="str">
        <x:v>未核实</x:v>
      </x:c>
    </x:row>
    <x:row r="292" ht="27" customHeight="1">
      <x:c r="A292" s="5" t="str">
        <x:v>豆包</x:v>
      </x:c>
      <x:c r="B292" s="5" t="str">
        <x:v>Q15</x:v>
      </x:c>
      <x:c r="C292" s="5" t="str">
        <x:v>2. 看一个抽象的 一个新兴的蛋白粉品牌。#蛋白粉#蛋白粉新手推荐 #蛋白补给神器 #女性健康#女性力量</x:v>
      </x:c>
      <x:c r="D292" s="5" t="str">
        <x:v>https://www.iesdouyin.com/share/video/7678701705357371822</x:v>
      </x:c>
      <x:c r="E292" s="5" t="str">
        <x:v>iesdouyin.com</x:v>
      </x:c>
      <x:c r="F292" s="5" t="str">
        <x:v>UGC/视频/公众号</x:v>
      </x:c>
      <x:c r="G292" s="5" t="str">
        <x:v>是</x:v>
      </x:c>
      <x:c r="H292" s="5" t="str">
        <x:v>怡可纳、赛霸/小赛同学、康比特、诺特兰德、训练怪兽、迈胜、紫光优健</x:v>
      </x:c>
      <x:c r="I292" s="5" t="str">
        <x:v>自然</x:v>
      </x:c>
      <x:c r="J292" s="5" t="str">
        <x:v>未核实</x:v>
      </x:c>
    </x:row>
    <x:row r="293" ht="27" customHeight="1">
      <x:c r="A293" s="5" t="str">
        <x:v>豆包</x:v>
      </x:c>
      <x:c r="B293" s="5" t="str">
        <x:v>Q15</x:v>
      </x:c>
      <x:c r="C293" s="5" t="str">
        <x:v>3. 国产蛋白粉排名#蛋白粉排名#蛋白粉推荐#蛋白粉排名第一的品牌</x:v>
      </x:c>
      <x:c r="D293" s="5" t="str">
        <x:v>https://www.iesdouyin.com/share/video/7469028197619764499</x:v>
      </x:c>
      <x:c r="E293" s="5" t="str">
        <x:v>iesdouyin.com</x:v>
      </x:c>
      <x:c r="F293" s="5" t="str">
        <x:v>UGC/视频/公众号</x:v>
      </x:c>
      <x:c r="G293" s="5" t="str">
        <x:v>是</x:v>
      </x:c>
      <x:c r="H293" s="5" t="str">
        <x:v>怡可纳、赛霸/小赛同学、康比特、诺特兰德、训练怪兽、迈胜、紫光优健</x:v>
      </x:c>
      <x:c r="I293" s="5" t="str">
        <x:v>自然</x:v>
      </x:c>
      <x:c r="J293" s="5" t="str">
        <x:v>未核实</x:v>
      </x:c>
    </x:row>
    <x:row r="294" ht="27" customHeight="1">
      <x:c r="A294" s="5" t="str">
        <x:v>豆包</x:v>
      </x:c>
      <x:c r="B294" s="5" t="str">
        <x:v>Q15</x:v>
      </x:c>
      <x:c r="C294" s="5" t="str">
        <x:v>4. 致胜营养，尽在TIERONE！TIERONE是一家中国本土运动营养品牌，专注于运动营养行业。创始人有十年训练经验，持有NSCA-CSCS、公共营养师三级认证。所有产品原料及配方由创始人亲自筛选把关。我</x:v>
      </x:c>
      <x:c r="D294" s="5" t="str">
        <x:v>https://www.iesdouyin.com/share/video/7408089310169271567</x:v>
      </x:c>
      <x:c r="E294" s="5" t="str">
        <x:v>iesdouyin.com</x:v>
      </x:c>
      <x:c r="F294" s="5" t="str">
        <x:v>UGC/视频/公众号</x:v>
      </x:c>
      <x:c r="G294" s="5" t="str">
        <x:v>是</x:v>
      </x:c>
      <x:c r="H294" s="5" t="str">
        <x:v>怡可纳、赛霸/小赛同学、康比特、诺特兰德、训练怪兽、迈胜、紫光优健</x:v>
      </x:c>
      <x:c r="I294" s="5" t="str">
        <x:v>自然</x:v>
      </x:c>
      <x:c r="J294" s="5" t="str">
        <x:v>未核实</x:v>
      </x:c>
    </x:row>
    <x:row r="295" ht="27" customHeight="1">
      <x:c r="A295" s="5" t="str">
        <x:v>豆包</x:v>
      </x:c>
      <x:c r="B295" s="5" t="str">
        <x:v>Q15</x:v>
      </x:c>
      <x:c r="C295" s="5" t="str">
        <x:v>5. 常见的国产氮泵，兄弟们喝了几款，效果评论区见，等你来补充劲大的#氮泵 #健身补剂</x:v>
      </x:c>
      <x:c r="D295" s="5" t="str">
        <x:v>https://www.iesdouyin.com/share/video/7215801059892120836</x:v>
      </x:c>
      <x:c r="E295" s="5" t="str">
        <x:v>iesdouyin.com</x:v>
      </x:c>
      <x:c r="F295" s="5" t="str">
        <x:v>UGC/视频/公众号</x:v>
      </x:c>
      <x:c r="G295" s="5" t="str">
        <x:v>是</x:v>
      </x:c>
      <x:c r="H295" s="5" t="str">
        <x:v>怡可纳、赛霸/小赛同学、康比特、诺特兰德、训练怪兽、迈胜、紫光优健</x:v>
      </x:c>
      <x:c r="I295" s="5" t="str">
        <x:v>自然</x:v>
      </x:c>
      <x:c r="J295" s="5" t="str">
        <x:v>未核实</x:v>
      </x:c>
    </x:row>
    <x:row r="296" ht="27" customHeight="1">
      <x:c r="A296" s="5" t="str">
        <x:v>豆包</x:v>
      </x:c>
      <x:c r="B296" s="5" t="str">
        <x:v>Q15</x:v>
      </x:c>
      <x:c r="C296" s="5" t="str">
        <x:v>6. 山东青年，打垮一个暴利行业 济南青年卖保健品，进账40亿 #保健品 #健身 #诺特兰德 #暴利行业 #山东</x:v>
      </x:c>
      <x:c r="D296" s="5" t="str">
        <x:v>https://www.iesdouyin.com/share/video/7516408897373080895</x:v>
      </x:c>
      <x:c r="E296" s="5" t="str">
        <x:v>iesdouyin.com</x:v>
      </x:c>
      <x:c r="F296" s="5" t="str">
        <x:v>UGC/视频/公众号</x:v>
      </x:c>
      <x:c r="G296" s="5" t="str">
        <x:v>是</x:v>
      </x:c>
      <x:c r="H296" s="5" t="str">
        <x:v>怡可纳、赛霸/小赛同学、康比特、诺特兰德、训练怪兽、迈胜、紫光优健</x:v>
      </x:c>
      <x:c r="I296" s="5" t="str">
        <x:v>自然</x:v>
      </x:c>
      <x:c r="J296" s="5" t="str">
        <x:v>未核实</x:v>
      </x:c>
    </x:row>
    <x:row r="297" ht="27" customHeight="1">
      <x:c r="A297" s="5" t="str">
        <x:v>豆包</x:v>
      </x:c>
      <x:c r="B297" s="5" t="str">
        <x:v>Q15</x:v>
      </x:c>
      <x:c r="C297" s="5" t="str">
        <x:v>7. 创作不易，麻烦兄弟们点个赞和收藏，下期进口版继续‼️ #赛霸 #马泰时刻 #诺特兰德 #冲肌波 #蛋白粉</x:v>
      </x:c>
      <x:c r="D297" s="5" t="str">
        <x:v>https://www.iesdouyin.com/share/video/7409249013964344616</x:v>
      </x:c>
      <x:c r="E297" s="5" t="str">
        <x:v>iesdouyin.com</x:v>
      </x:c>
      <x:c r="F297" s="5" t="str">
        <x:v>UGC/视频/公众号</x:v>
      </x:c>
      <x:c r="G297" s="5" t="str">
        <x:v>是</x:v>
      </x:c>
      <x:c r="H297" s="5" t="str">
        <x:v>怡可纳、赛霸/小赛同学、康比特、诺特兰德、训练怪兽、迈胜、紫光优健</x:v>
      </x:c>
      <x:c r="I297" s="5" t="str">
        <x:v>自然</x:v>
      </x:c>
      <x:c r="J297" s="5" t="str">
        <x:v>未核实</x:v>
      </x:c>
    </x:row>
    <x:row r="298" ht="27" customHeight="1">
      <x:c r="A298" s="5" t="str">
        <x:v>豆包</x:v>
      </x:c>
      <x:c r="B298" s="5" t="str">
        <x:v>Q15</x:v>
      </x:c>
      <x:c r="C298" s="5" t="str">
        <x:v>8. 兄弟们买国产肌酸你们觉得买哪个合适哪个性价比最高？#补剂 #蛋白粉 #肌酸 #健身 #性价比</x:v>
      </x:c>
      <x:c r="D298" s="5" t="str">
        <x:v>https://www.iesdouyin.com/share/video/7442356312056286504</x:v>
      </x:c>
      <x:c r="E298" s="5" t="str">
        <x:v>iesdouyin.com</x:v>
      </x:c>
      <x:c r="F298" s="5" t="str">
        <x:v>UGC/视频/公众号</x:v>
      </x:c>
      <x:c r="G298" s="5" t="str">
        <x:v>是</x:v>
      </x:c>
      <x:c r="H298" s="5" t="str">
        <x:v>怡可纳、赛霸/小赛同学、康比特、诺特兰德、训练怪兽、迈胜、紫光优健</x:v>
      </x:c>
      <x:c r="I298" s="5" t="str">
        <x:v>自然</x:v>
      </x:c>
      <x:c r="J298" s="5" t="str">
        <x:v>未核实</x:v>
      </x:c>
    </x:row>
    <x:row r="299" ht="27" customHeight="1">
      <x:c r="A299" s="5" t="str">
        <x:v>豆包</x:v>
      </x:c>
      <x:c r="B299" s="5" t="str">
        <x:v>Q15</x:v>
      </x:c>
      <x:c r="C299" s="5" t="str">
        <x:v>9. 9月份蛋白粉推荐 A57:9月份蛋白粉推荐。很多之前推荐的蛋白粉要么涨价了，要么断货了，所以就出了这份9月份蛋白粉推荐，那你现在喝的是什么蛋白粉呢？#蛋白粉 #蛋白粉推荐 #蛋白粉测评 #酵母蛋白 #</x:v>
      </x:c>
      <x:c r="D299" s="5" t="str">
        <x:v>https://www.iesdouyin.com/share/video/7681888051950356465</x:v>
      </x:c>
      <x:c r="E299" s="5" t="str">
        <x:v>iesdouyin.com</x:v>
      </x:c>
      <x:c r="F299" s="5" t="str">
        <x:v>UGC/视频/公众号</x:v>
      </x:c>
      <x:c r="G299" s="5" t="str">
        <x:v>是</x:v>
      </x:c>
      <x:c r="H299" s="5" t="str">
        <x:v>怡可纳、赛霸/小赛同学、康比特、诺特兰德、训练怪兽、迈胜、紫光优健</x:v>
      </x:c>
      <x:c r="I299" s="5" t="str">
        <x:v>自然</x:v>
      </x:c>
      <x:c r="J299" s="5" t="str">
        <x:v>未核实</x:v>
      </x:c>
    </x:row>
    <x:row r="300" ht="27" customHeight="1">
      <x:c r="A300" s="5" t="str">
        <x:v>豆包</x:v>
      </x:c>
      <x:c r="B300" s="5" t="str">
        <x:v>Q15</x:v>
      </x:c>
      <x:c r="C300" s="5" t="str">
        <x:v>10. 锐评我喝过的一水肌酸，个人评价，仅供兄弟们参考#锐评 #肌酸</x:v>
      </x:c>
      <x:c r="D300" s="5" t="str">
        <x:v>https://www.iesdouyin.com/share/video/7613602620342619444</x:v>
      </x:c>
      <x:c r="E300" s="5" t="str">
        <x:v>iesdouyin.com</x:v>
      </x:c>
      <x:c r="F300" s="5" t="str">
        <x:v>UGC/视频/公众号</x:v>
      </x:c>
      <x:c r="G300" s="5" t="str">
        <x:v>是</x:v>
      </x:c>
      <x:c r="H300" s="5" t="str">
        <x:v>怡可纳、赛霸/小赛同学、康比特、诺特兰德、训练怪兽、迈胜、紫光优健</x:v>
      </x:c>
      <x:c r="I300" s="5" t="str">
        <x:v>自然</x:v>
      </x:c>
      <x:c r="J300" s="5" t="str">
        <x:v>未核实</x:v>
      </x:c>
    </x:row>
    <x:row r="301" ht="27" customHeight="1">
      <x:c r="A301" s="5" t="str">
        <x:v>豆包</x:v>
      </x:c>
      <x:c r="B301" s="5" t="str">
        <x:v>Q15</x:v>
      </x:c>
      <x:c r="C301" s="5" t="str">
        <x:v>11. @训练怪兽官方旗舰店 感谢训练怪兽的大力支持</x:v>
      </x:c>
      <x:c r="D301" s="5" t="str">
        <x:v>https://www.iesdouyin.com/share/video/7450402182744132899</x:v>
      </x:c>
      <x:c r="E301" s="5" t="str">
        <x:v>iesdouyin.com</x:v>
      </x:c>
      <x:c r="F301" s="5" t="str">
        <x:v>UGC/视频/公众号</x:v>
      </x:c>
      <x:c r="G301" s="5" t="str">
        <x:v>是</x:v>
      </x:c>
      <x:c r="H301" s="5" t="str">
        <x:v>怡可纳、赛霸/小赛同学、康比特、诺特兰德、训练怪兽、迈胜、紫光优健</x:v>
      </x:c>
      <x:c r="I301" s="5" t="str">
        <x:v>自然</x:v>
      </x:c>
      <x:c r="J301" s="5" t="str">
        <x:v>未核实</x:v>
      </x:c>
    </x:row>
    <x:row r="302" ht="27" customHeight="1">
      <x:c r="A302" s="5" t="str">
        <x:v>豆包</x:v>
      </x:c>
      <x:c r="B302" s="5" t="str">
        <x:v>Q17</x:v>
      </x:c>
      <x:c r="C302" s="5" t="str">
        <x:v>1. 怡可纳益生菌电解质粉冲剂饮料水运动健身维生素户外跑步骑行运动 3盒益生菌电解质(蜜桃口味)【图片 价格 品牌 报价】-京东</x:v>
      </x:c>
      <x:c r="D302" s="5" t="str">
        <x:v>https://item.jd.com/product/Kqyxq0sa3t70SkF58yVsqw.html</x:v>
      </x:c>
      <x:c r="E302" s="5" t="str">
        <x:v>item.jd.com</x:v>
      </x:c>
      <x:c r="F302" s="5" t="str">
        <x:v>电商</x:v>
      </x:c>
      <x:c r="G302" s="5" t="str">
        <x:v>是</x:v>
      </x:c>
      <x:c r="H302" s="5" t="str">
        <x:v>怡可纳</x:v>
      </x:c>
      <x:c r="I302" s="5" t="str">
        <x:v>主动</x:v>
      </x:c>
      <x:c r="J302" s="5" t="str">
        <x:v>未核实</x:v>
      </x:c>
    </x:row>
    <x:row r="303" ht="27" customHeight="1">
      <x:c r="A303" s="5" t="str">
        <x:v>豆包</x:v>
      </x:c>
      <x:c r="B303" s="5" t="str">
        <x:v>Q17</x:v>
      </x:c>
      <x:c r="C303" s="5" t="str">
        <x:v>2. 怡可纳商标_申请/注册号88840885 - 企查查</x:v>
      </x:c>
      <x:c r="D303" s="5" t="str">
        <x:v>https://m.qcc.com/brandDetail/08c909f8fc4860195b2c61ca164e82e3.html</x:v>
      </x:c>
      <x:c r="E303" s="5" t="str">
        <x:v>qcc.com</x:v>
      </x:c>
      <x:c r="F303" s="5" t="str">
        <x:v>其他网页</x:v>
      </x:c>
      <x:c r="G303" s="5" t="str">
        <x:v>是</x:v>
      </x:c>
      <x:c r="H303" s="5" t="str">
        <x:v>怡可纳</x:v>
      </x:c>
      <x:c r="I303" s="5" t="str">
        <x:v>主动</x:v>
      </x:c>
      <x:c r="J303" s="5" t="str">
        <x:v>未核实</x:v>
      </x:c>
    </x:row>
    <x:row r="304" ht="27" customHeight="1">
      <x:c r="A304" s="5" t="str">
        <x:v>豆包</x:v>
      </x:c>
      <x:c r="B304" s="5" t="str">
        <x:v>Q17</x:v>
      </x:c>
      <x:c r="C304" s="5" t="str">
        <x:v>3. 怡可纳酵母蛋白粉健身高蛋白质粉运动非乳清蛋白粉官方旗舰店正品-淘宝Taobao | 天猫Tmall</x:v>
      </x:c>
      <x:c r="D304" s="5" t="str">
        <x:v>https://www.taobao.com/list/item/OWVNY1lNbjRIM3Mra3VtajRwOFMvUT09.htm</x:v>
      </x:c>
      <x:c r="E304" s="5" t="str">
        <x:v>taobao.com</x:v>
      </x:c>
      <x:c r="F304" s="5" t="str">
        <x:v>电商</x:v>
      </x:c>
      <x:c r="G304" s="5" t="str">
        <x:v>是</x:v>
      </x:c>
      <x:c r="H304" s="5" t="str">
        <x:v>怡可纳</x:v>
      </x:c>
      <x:c r="I304" s="5" t="str">
        <x:v>主动</x:v>
      </x:c>
      <x:c r="J304" s="5" t="str">
        <x:v>未核实</x:v>
      </x:c>
    </x:row>
    <x:row r="305" ht="27" customHeight="1">
      <x:c r="A305" s="5" t="str">
        <x:v>豆包</x:v>
      </x:c>
      <x:c r="B305" s="5" t="str">
        <x:v>Q17</x:v>
      </x:c>
      <x:c r="C305" s="5" t="str">
        <x:v>4. 怡可纳品牌介绍-怡可纳蛋白粉_乳清蛋白粉-买购APP</x:v>
      </x:c>
      <x:c r="D305" s="5" t="str">
        <x:v>https://m.maigoo.com/brand/1635897.html</x:v>
      </x:c>
      <x:c r="E305" s="5" t="str">
        <x:v>maigoo.com</x:v>
      </x:c>
      <x:c r="F305" s="5" t="str">
        <x:v>其他网页</x:v>
      </x:c>
      <x:c r="G305" s="5" t="str">
        <x:v>是</x:v>
      </x:c>
      <x:c r="H305" s="5" t="str">
        <x:v>怡可纳</x:v>
      </x:c>
      <x:c r="I305" s="5" t="str">
        <x:v>主动</x:v>
      </x:c>
      <x:c r="J305" s="5" t="str">
        <x:v>未核实</x:v>
      </x:c>
    </x:row>
    <x:row r="306" ht="27" customHeight="1">
      <x:c r="A306" s="5" t="str">
        <x:v>豆包</x:v>
      </x:c>
      <x:c r="B306" s="5" t="str">
        <x:v>Q17</x:v>
      </x:c>
      <x:c r="C306" s="5" t="str">
        <x:v>5. 老牌酵母蛋白粉了！想喝高品质怕踩雷的闭眼入这款就行！怡可纳真的是算酵母的行业头牌及先行者了！有需要的感谢支持！#酵母蛋白粉 #蛋白粉 #补剂 #健身补剂 #健身 @DOU+小助手 @粗人(补剂零食好物分享)</x:v>
      </x:c>
      <x:c r="D306" s="5" t="str">
        <x:v>https://www.iesdouyin.com/share/video/7685351789788400905</x:v>
      </x:c>
      <x:c r="E306" s="5" t="str">
        <x:v>iesdouyin.com</x:v>
      </x:c>
      <x:c r="F306" s="5" t="str">
        <x:v>UGC/视频/公众号</x:v>
      </x:c>
      <x:c r="G306" s="5" t="str">
        <x:v>是</x:v>
      </x:c>
      <x:c r="H306" s="5" t="str">
        <x:v>怡可纳</x:v>
      </x:c>
      <x:c r="I306" s="5" t="str">
        <x:v>主动</x:v>
      </x:c>
      <x:c r="J306" s="5" t="str">
        <x:v>未核实</x:v>
      </x:c>
    </x:row>
    <x:row r="307" ht="27" customHeight="1">
      <x:c r="A307" s="5" t="str">
        <x:v>豆包</x:v>
      </x:c>
      <x:c r="B307" s="5" t="str">
        <x:v>Q17</x:v>
      </x:c>
      <x:c r="C307" s="5" t="str">
        <x:v>6. 怡可纳乳清蛋白粉 天津生产男女通用 2磅71%高蛋白质粉-Taobao-Tmall</x:v>
      </x:c>
      <x:c r="D307" s="5" t="str">
        <x:v>https://www.taobao.com/list/item/703571616945.htm</x:v>
      </x:c>
      <x:c r="E307" s="5" t="str">
        <x:v>taobao.com</x:v>
      </x:c>
      <x:c r="F307" s="5" t="str">
        <x:v>电商</x:v>
      </x:c>
      <x:c r="G307" s="5" t="str">
        <x:v>是</x:v>
      </x:c>
      <x:c r="H307" s="5" t="str">
        <x:v>怡可纳</x:v>
      </x:c>
      <x:c r="I307" s="5" t="str">
        <x:v>主动</x:v>
      </x:c>
      <x:c r="J307" s="5" t="str">
        <x:v>未核实</x:v>
      </x:c>
    </x:row>
    <x:row r="308" ht="27" customHeight="1">
      <x:c r="A308" s="5" t="str">
        <x:v>豆包</x:v>
      </x:c>
      <x:c r="B308" s="5" t="str">
        <x:v>Q17</x:v>
      </x:c>
      <x:c r="C308" s="5" t="str">
        <x:v>7. 四十年铸就全球口碑，天然宠粮领导者冠军宠物食品携渴望、爱肯拿重磅亮相它博会_中国网 中国商务</x:v>
      </x:c>
      <x:c r="D308" s="5" t="str">
        <x:v>http://business.china.com.cn/2026-05/11/content_43423301.shtml</x:v>
      </x:c>
      <x:c r="E308" s="5" t="str">
        <x:v>business.china.com.cn</x:v>
      </x:c>
      <x:c r="F308" s="5" t="str">
        <x:v>综合媒体/转载</x:v>
      </x:c>
      <x:c r="G308" s="5" t="str">
        <x:v>是</x:v>
      </x:c>
      <x:c r="H308" s="5" t="str">
        <x:v>怡可纳</x:v>
      </x:c>
      <x:c r="I308" s="5" t="str">
        <x:v>主动</x:v>
      </x:c>
      <x:c r="J308" s="5" t="str">
        <x:v>未核实</x:v>
      </x:c>
    </x:row>
    <x:row r="309" ht="27" customHeight="1">
      <x:c r="A309" s="5" t="str">
        <x:v>豆包</x:v>
      </x:c>
      <x:c r="B309" s="5" t="str">
        <x:v>Q18</x:v>
      </x:c>
      <x:c r="C309" s="5" t="str">
        <x:v>1. 锐评酵母蛋白粉（1） R2:酵母蛋白粉出来时间久了，可以说是百花齐放，每家都对于酵母蛋白有一些自己的理解，但是大家都是摸着怡可纳过河，然后竟然有很多做的比怡可纳还有特色。但是，酵母蛋白，还是要从试用装</x:v>
      </x:c>
      <x:c r="D309" s="5" t="str">
        <x:v>https://www.iesdouyin.com/share/video/7687082340167165093</x:v>
      </x:c>
      <x:c r="E309" s="5" t="str">
        <x:v>iesdouyin.com</x:v>
      </x:c>
      <x:c r="F309" s="5" t="str">
        <x:v>UGC/视频/公众号</x:v>
      </x:c>
      <x:c r="G309" s="5" t="str">
        <x:v>是</x:v>
      </x:c>
      <x:c r="H309" s="5" t="str">
        <x:v>怡可纳</x:v>
      </x:c>
      <x:c r="I309" s="5" t="str">
        <x:v>主动</x:v>
      </x:c>
      <x:c r="J309" s="5" t="str">
        <x:v>未核实</x:v>
      </x:c>
    </x:row>
    <x:row r="310" ht="27" customHeight="1">
      <x:c r="A310" s="5" t="str">
        <x:v>豆包</x:v>
      </x:c>
      <x:c r="B310" s="5" t="str">
        <x:v>Q18</x:v>
      </x:c>
      <x:c r="C310" s="5" t="str">
        <x:v>2. 从夯到拉无广锐评怡可纳酵母蛋白粉全口味 #蛋白粉测评 #健身 #酵母蛋白粉 #减肥 #塑形</x:v>
      </x:c>
      <x:c r="D310" s="5" t="str">
        <x:v>https://www.iesdouyin.com/share/video/7687244141877289818</x:v>
      </x:c>
      <x:c r="E310" s="5" t="str">
        <x:v>iesdouyin.com</x:v>
      </x:c>
      <x:c r="F310" s="5" t="str">
        <x:v>UGC/视频/公众号</x:v>
      </x:c>
      <x:c r="G310" s="5" t="str">
        <x:v>是</x:v>
      </x:c>
      <x:c r="H310" s="5" t="str">
        <x:v>怡可纳</x:v>
      </x:c>
      <x:c r="I310" s="5" t="str">
        <x:v>主动</x:v>
      </x:c>
      <x:c r="J310" s="5" t="str">
        <x:v>未核实</x:v>
      </x:c>
    </x:row>
    <x:row r="311" ht="27" customHeight="1">
      <x:c r="A311" s="5" t="str">
        <x:v>豆包</x:v>
      </x:c>
      <x:c r="B311" s="5" t="str">
        <x:v>Q18</x:v>
      </x:c>
      <x:c r="C311" s="5" t="str">
        <x:v>3. 乳清酵母酪蛋白差距大吗？ A76:乳清、酵母、酪蛋白的差距到底大不大？咱们看看专业数据如何。#蛋白粉 #蛋白粉推荐 #蛋白粉测评 #酵母蛋白 #怡可纳</x:v>
      </x:c>
      <x:c r="D311" s="5" t="str">
        <x:v>https://www.iesdouyin.com/share/video/7688557562987409329</x:v>
      </x:c>
      <x:c r="E311" s="5" t="str">
        <x:v>iesdouyin.com</x:v>
      </x:c>
      <x:c r="F311" s="5" t="str">
        <x:v>UGC/视频/公众号</x:v>
      </x:c>
      <x:c r="G311" s="5" t="str">
        <x:v>是</x:v>
      </x:c>
      <x:c r="H311" s="5" t="str">
        <x:v>怡可纳</x:v>
      </x:c>
      <x:c r="I311" s="5" t="str">
        <x:v>主动</x:v>
      </x:c>
      <x:c r="J311" s="5" t="str">
        <x:v>未核实</x:v>
      </x:c>
    </x:row>
    <x:row r="312" ht="27" customHeight="1">
      <x:c r="A312" s="5" t="str">
        <x:v>豆包</x:v>
      </x:c>
      <x:c r="B312" s="5" t="str">
        <x:v>Q18</x:v>
      </x:c>
      <x:c r="C312" s="5" t="str">
        <x:v>4. 159到手4磅新型蛋白粉尝鲜！ 怡可纳出品，品质可以相信！</x:v>
      </x:c>
      <x:c r="D312" s="5" t="str">
        <x:v>https://www.iesdouyin.com/share/video/7434481134731267386</x:v>
      </x:c>
      <x:c r="E312" s="5" t="str">
        <x:v>iesdouyin.com</x:v>
      </x:c>
      <x:c r="F312" s="5" t="str">
        <x:v>UGC/视频/公众号</x:v>
      </x:c>
      <x:c r="G312" s="5" t="str">
        <x:v>是</x:v>
      </x:c>
      <x:c r="H312" s="5" t="str">
        <x:v>怡可纳</x:v>
      </x:c>
      <x:c r="I312" s="5" t="str">
        <x:v>主动</x:v>
      </x:c>
      <x:c r="J312" s="5" t="str">
        <x:v>未核实</x:v>
      </x:c>
    </x:row>
    <x:row r="313" ht="27" customHeight="1">
      <x:c r="A313" s="5" t="str">
        <x:v>豆包</x:v>
      </x:c>
      <x:c r="B313" s="5" t="str">
        <x:v>Q18</x:v>
      </x:c>
      <x:c r="C313" s="5" t="str">
        <x:v>5. 蛋白粉配料表给我看笑了。对比老三家酵母蛋白粉，概特和米当卡都不错，但是看到这个第三个怡可纳的，难评，之前一直以为大牌子就有保障结果，诶，有的配料表连相关成分都没有还敢写［XX味］［xx口味］，真是把消</x:v>
      </x:c>
      <x:c r="D313" s="5" t="str">
        <x:v>https://www.iesdouyin.com/share/video/7632164421302103674</x:v>
      </x:c>
      <x:c r="E313" s="5" t="str">
        <x:v>iesdouyin.com</x:v>
      </x:c>
      <x:c r="F313" s="5" t="str">
        <x:v>UGC/视频/公众号</x:v>
      </x:c>
      <x:c r="G313" s="5" t="str">
        <x:v>是</x:v>
      </x:c>
      <x:c r="H313" s="5" t="str">
        <x:v>怡可纳</x:v>
      </x:c>
      <x:c r="I313" s="5" t="str">
        <x:v>主动</x:v>
      </x:c>
      <x:c r="J313" s="5" t="str">
        <x:v>未核实</x:v>
      </x:c>
    </x:row>
    <x:row r="314" ht="27" customHeight="1">
      <x:c r="A314" s="5" t="str">
        <x:v>豆包</x:v>
      </x:c>
      <x:c r="B314" s="5" t="str">
        <x:v>Q18</x:v>
      </x:c>
      <x:c r="C314" s="5" t="str">
        <x:v>6. 我一共喝过两款，先喝的怡可纳，现在买的米当卡，怡可纳蛋白质含量低一点，价格也贵一点，米当卡蛋白质含量高一些，价格也便宜一些，但是米当卡喝完嗓子会不舒服好几个小时，喝完一小会就开始不舒服#蛋白粉推荐 #</x:v>
      </x:c>
      <x:c r="D314" s="5" t="str">
        <x:v>https://www.iesdouyin.com/share/video/7659361704563785829</x:v>
      </x:c>
      <x:c r="E314" s="5" t="str">
        <x:v>iesdouyin.com</x:v>
      </x:c>
      <x:c r="F314" s="5" t="str">
        <x:v>UGC/视频/公众号</x:v>
      </x:c>
      <x:c r="G314" s="5" t="str">
        <x:v>是</x:v>
      </x:c>
      <x:c r="H314" s="5" t="str">
        <x:v>怡可纳</x:v>
      </x:c>
      <x:c r="I314" s="5" t="str">
        <x:v>主动</x:v>
      </x:c>
      <x:c r="J314" s="5" t="str">
        <x:v>未核实</x:v>
      </x:c>
    </x:row>
    <x:row r="315" ht="27" customHeight="1">
      <x:c r="A315" s="5" t="str">
        <x:v>豆包</x:v>
      </x:c>
      <x:c r="B315" s="5" t="str">
        <x:v>Q18</x:v>
      </x:c>
      <x:c r="C315" s="5" t="str">
        <x:v>7. 蛋白粉怎么选？妥妥兄弟们快乐粉啊！一定要把握好#怡可纳酵母蛋白粉 #健身补剂</x:v>
      </x:c>
      <x:c r="D315" s="5" t="str">
        <x:v>https://www.iesdouyin.com/share/video/7669756460344124601</x:v>
      </x:c>
      <x:c r="E315" s="5" t="str">
        <x:v>iesdouyin.com</x:v>
      </x:c>
      <x:c r="F315" s="5" t="str">
        <x:v>UGC/视频/公众号</x:v>
      </x:c>
      <x:c r="G315" s="5" t="str">
        <x:v>是</x:v>
      </x:c>
      <x:c r="H315" s="5" t="str">
        <x:v>怡可纳</x:v>
      </x:c>
      <x:c r="I315" s="5" t="str">
        <x:v>主动</x:v>
      </x:c>
      <x:c r="J315" s="5" t="str">
        <x:v>未核实</x:v>
      </x:c>
    </x:row>
    <x:row r="316" ht="27" customHeight="1">
      <x:c r="A316" s="5" t="str">
        <x:v>豆包</x:v>
      </x:c>
      <x:c r="B316" s="5" t="str">
        <x:v>Q18</x:v>
      </x:c>
      <x:c r="C316" s="5" t="str">
        <x:v>8. 怡可纳酵母蛋白粉2.27kg运动健身71%蛋白质粉-淘宝网</x:v>
      </x:c>
      <x:c r="D316" s="5" t="str">
        <x:v>https://pcdetail.taobao.com/Q0E0YUUxVVV5UnRTMUV4RHlNOTNKUT09.html</x:v>
      </x:c>
      <x:c r="E316" s="5" t="str">
        <x:v>pcdetail.taobao.com</x:v>
      </x:c>
      <x:c r="F316" s="5" t="str">
        <x:v>电商</x:v>
      </x:c>
      <x:c r="G316" s="5" t="str">
        <x:v>是</x:v>
      </x:c>
      <x:c r="H316" s="5" t="str">
        <x:v>怡可纳</x:v>
      </x:c>
      <x:c r="I316" s="5" t="str">
        <x:v>主动</x:v>
      </x:c>
      <x:c r="J316" s="5" t="str">
        <x:v>未核实</x:v>
      </x:c>
    </x:row>
    <x:row r="317" ht="27" customHeight="1">
      <x:c r="A317" s="5" t="str">
        <x:v>豆包</x:v>
      </x:c>
      <x:c r="B317" s="5" t="str">
        <x:v>Q18</x:v>
      </x:c>
      <x:c r="C317" s="5" t="str">
        <x:v>9. 189五磅的蛋白粉 #健身补剂 #蛋白粉 #怡可纳</x:v>
      </x:c>
      <x:c r="D317" s="5" t="str">
        <x:v>https://www.iesdouyin.com/share/video/7639184717480217897</x:v>
      </x:c>
      <x:c r="E317" s="5" t="str">
        <x:v>iesdouyin.com</x:v>
      </x:c>
      <x:c r="F317" s="5" t="str">
        <x:v>UGC/视频/公众号</x:v>
      </x:c>
      <x:c r="G317" s="5" t="str">
        <x:v>是</x:v>
      </x:c>
      <x:c r="H317" s="5" t="str">
        <x:v>怡可纳</x:v>
      </x:c>
      <x:c r="I317" s="5" t="str">
        <x:v>主动</x:v>
      </x:c>
      <x:c r="J317" s="5" t="str">
        <x:v>未核实</x:v>
      </x:c>
    </x:row>
    <x:row r="318" ht="27" customHeight="1">
      <x:c r="A318" s="5" t="str">
        <x:v>豆包</x:v>
      </x:c>
      <x:c r="B318" s="5" t="str">
        <x:v>Q18</x:v>
      </x:c>
      <x:c r="C318" s="5" t="str">
        <x:v>10. 老牌酵母蛋白粉了！想喝高品质怕踩雷的闭眼入这款就行！怡可纳真的是算酵母的行业头牌及先行者了！有需要的感谢支持！#酵母蛋白粉 #蛋白粉 #补剂 #健身补剂 #健身 @DOU+小助手 @粗人(补剂零食好物分享)</x:v>
      </x:c>
      <x:c r="D318" s="5" t="str">
        <x:v>https://www.iesdouyin.com/share/video/7685351789788400905</x:v>
      </x:c>
      <x:c r="E318" s="5" t="str">
        <x:v>iesdouyin.com</x:v>
      </x:c>
      <x:c r="F318" s="5" t="str">
        <x:v>UGC/视频/公众号</x:v>
      </x:c>
      <x:c r="G318" s="5" t="str">
        <x:v>是</x:v>
      </x:c>
      <x:c r="H318" s="5" t="str">
        <x:v>怡可纳</x:v>
      </x:c>
      <x:c r="I318" s="5" t="str">
        <x:v>主动</x:v>
      </x:c>
      <x:c r="J318" s="5" t="str">
        <x:v>未核实</x:v>
      </x:c>
    </x:row>
    <x:row r="319" ht="27" customHeight="1">
      <x:c r="A319" s="5" t="str">
        <x:v>豆包</x:v>
      </x:c>
      <x:c r="B319" s="5" t="str">
        <x:v>Q18</x:v>
      </x:c>
      <x:c r="C319" s="5" t="str">
        <x:v>11. 真的不要因为便宜，就看不起它。补充蛋白质来说它真的没问题！关键你看这价格多香！5磅才多少钱啊！有需要的！感谢各位上帝支持！！#酵母蛋白粉 #蛋白质 #健身补剂 #好物分享#蛋白粉推荐 @粗人(补剂零食好物分享) @DOU+小助手</x:v>
      </x:c>
      <x:c r="D319" s="5" t="str">
        <x:v>https://www.iesdouyin.com/share/video/7662735838175326309</x:v>
      </x:c>
      <x:c r="E319" s="5" t="str">
        <x:v>iesdouyin.com</x:v>
      </x:c>
      <x:c r="F319" s="5" t="str">
        <x:v>UGC/视频/公众号</x:v>
      </x:c>
      <x:c r="G319" s="5" t="str">
        <x:v>是</x:v>
      </x:c>
      <x:c r="H319" s="5" t="str">
        <x:v>怡可纳</x:v>
      </x:c>
      <x:c r="I319" s="5" t="str">
        <x:v>主动</x:v>
      </x:c>
      <x:c r="J319" s="5" t="str">
        <x:v>未核实</x:v>
      </x:c>
    </x:row>
    <x:row r="320" ht="27" customHeight="1">
      <x:c r="A320" s="5" t="str">
        <x:v>豆包</x:v>
      </x:c>
      <x:c r="B320" s="5" t="str">
        <x:v>Q18</x:v>
      </x:c>
      <x:c r="C320" s="5" t="str">
        <x:v>12. 怡可纳澄清clear酵母蛋白粉测评 #补剂测评 #蛋白粉 #酵母蛋白粉 总的来说不错，期待价格如何</x:v>
      </x:c>
      <x:c r="D320" s="5" t="str">
        <x:v>https://www.iesdouyin.com/share/video/7686485303918461674</x:v>
      </x:c>
      <x:c r="E320" s="5" t="str">
        <x:v>iesdouyin.com</x:v>
      </x:c>
      <x:c r="F320" s="5" t="str">
        <x:v>UGC/视频/公众号</x:v>
      </x:c>
      <x:c r="G320" s="5" t="str">
        <x:v>是</x:v>
      </x:c>
      <x:c r="H320" s="5" t="str">
        <x:v>怡可纳</x:v>
      </x:c>
      <x:c r="I320" s="5" t="str">
        <x:v>主动</x:v>
      </x:c>
      <x:c r="J320" s="5" t="str">
        <x:v>未核实</x:v>
      </x:c>
    </x:row>
    <x:row r="321" ht="27" customHeight="1">
      <x:c r="A321" s="5" t="str">
        <x:v>豆包</x:v>
      </x:c>
      <x:c r="B321" s="5" t="str">
        <x:v>Q18</x:v>
      </x:c>
      <x:c r="C321" s="5" t="str">
        <x:v>13. 酵母蛋白粉我再给你最后一次机会 #酵母蛋白 #怡可纳 #蛋白粉 #补剂 #健身</x:v>
      </x:c>
      <x:c r="D321" s="5" t="str">
        <x:v>https://www.iesdouyin.com/share/video/7681161146988748779</x:v>
      </x:c>
      <x:c r="E321" s="5" t="str">
        <x:v>iesdouyin.com</x:v>
      </x:c>
      <x:c r="F321" s="5" t="str">
        <x:v>UGC/视频/公众号</x:v>
      </x:c>
      <x:c r="G321" s="5" t="str">
        <x:v>是</x:v>
      </x:c>
      <x:c r="H321" s="5" t="str">
        <x:v>怡可纳</x:v>
      </x:c>
      <x:c r="I321" s="5" t="str">
        <x:v>主动</x:v>
      </x:c>
      <x:c r="J321" s="5" t="str">
        <x:v>未核实</x:v>
      </x:c>
    </x:row>
    <x:row r="322" ht="27" customHeight="1">
      <x:c r="A322" s="5" t="str">
        <x:v>豆包</x:v>
      </x:c>
      <x:c r="B322" s="5" t="str">
        <x:v>Q19</x:v>
      </x:c>
      <x:c r="C322" s="5" t="str">
        <x:v>1. 乳清酵母酪蛋白差距大吗？ A76:乳清、酵母、酪蛋白的差距到底大不大？咱们看看专业数据如何。#蛋白粉 #蛋白粉推荐 #蛋白粉测评 #酵母蛋白 #怡可纳</x:v>
      </x:c>
      <x:c r="D322" s="5" t="str">
        <x:v>https://www.iesdouyin.com/share/video/7688557562987409329</x:v>
      </x:c>
      <x:c r="E322" s="5" t="str">
        <x:v>iesdouyin.com</x:v>
      </x:c>
      <x:c r="F322" s="5" t="str">
        <x:v>UGC/视频/公众号</x:v>
      </x:c>
      <x:c r="G322" s="5" t="str">
        <x:v>是</x:v>
      </x:c>
      <x:c r="H322" s="5" t="str">
        <x:v>怡可纳</x:v>
      </x:c>
      <x:c r="I322" s="5" t="str">
        <x:v>主动</x:v>
      </x:c>
      <x:c r="J322" s="5" t="str">
        <x:v>未核实</x:v>
      </x:c>
    </x:row>
    <x:row r="323" ht="27" customHeight="1">
      <x:c r="A323" s="5" t="str">
        <x:v>豆包</x:v>
      </x:c>
      <x:c r="B323" s="5" t="str">
        <x:v>Q19</x:v>
      </x:c>
      <x:c r="C323" s="5" t="str">
        <x:v>2. 怡可纳酵母蛋白与拆解 A45:一个蛋白饮好不好？其实我们可以通过把它拆开来看到它的一部分情况。这一款口味很不错，每份也拥有25g的蛋白质，出门携带确实方便。#蛋白粉推荐 #健身补剂 #酵母蛋白 #酵母</x:v>
      </x:c>
      <x:c r="D323" s="5" t="str">
        <x:v>https://www.iesdouyin.com/share/video/7676087304641397937</x:v>
      </x:c>
      <x:c r="E323" s="5" t="str">
        <x:v>iesdouyin.com</x:v>
      </x:c>
      <x:c r="F323" s="5" t="str">
        <x:v>UGC/视频/公众号</x:v>
      </x:c>
      <x:c r="G323" s="5" t="str">
        <x:v>是</x:v>
      </x:c>
      <x:c r="H323" s="5" t="str">
        <x:v>怡可纳</x:v>
      </x:c>
      <x:c r="I323" s="5" t="str">
        <x:v>主动</x:v>
      </x:c>
      <x:c r="J323" s="5" t="str">
        <x:v>未核实</x:v>
      </x:c>
    </x:row>
    <x:row r="324" ht="27" customHeight="1">
      <x:c r="A324" s="5" t="str">
        <x:v>豆包</x:v>
      </x:c>
      <x:c r="B324" s="5" t="str">
        <x:v>Q19</x:v>
      </x:c>
      <x:c r="C324" s="5" t="str">
        <x:v>3. 恭请太上长老-怡可纳初代酵母蛋白粉测评 A16:现在还在叫唤，酵母难喝的小伙伴，看看我们过去受的什么苦。沙口感严重，泡沫极为丰富。不过真的特别佩服给酵母蛋白调味的设计师，我懂你，你是个天才！#蛋白粉</x:v>
      </x:c>
      <x:c r="D324" s="5" t="str">
        <x:v>https://www.iesdouyin.com/share/video/7667137883443084017</x:v>
      </x:c>
      <x:c r="E324" s="5" t="str">
        <x:v>iesdouyin.com</x:v>
      </x:c>
      <x:c r="F324" s="5" t="str">
        <x:v>UGC/视频/公众号</x:v>
      </x:c>
      <x:c r="G324" s="5" t="str">
        <x:v>是</x:v>
      </x:c>
      <x:c r="H324" s="5" t="str">
        <x:v>怡可纳</x:v>
      </x:c>
      <x:c r="I324" s="5" t="str">
        <x:v>主动</x:v>
      </x:c>
      <x:c r="J324" s="5" t="str">
        <x:v>未核实</x:v>
      </x:c>
    </x:row>
    <x:row r="325" ht="27" customHeight="1">
      <x:c r="A325" s="5" t="str">
        <x:v>豆包</x:v>
      </x:c>
      <x:c r="B325" s="5" t="str">
        <x:v>Q19</x:v>
      </x:c>
      <x:c r="C325" s="5" t="str">
        <x:v>4. 老牌 酵母 蛋白粉 了 ！ 想 喝 高 品质 怕 踩 雷 的 闭眼 入 这款 就 行 ！ 怡 可 纳 真的 是 算 酵母 的 行业 头牌 及 先行者 了 ！ 有 需要 的 感谢 支持 ！ # 酵母 蛋白粉 # 蛋白粉 # 补剂 # 健身 补剂 # 健身 @ DOU + 小 助手 @ 粗人 ( 补剂 零食 好物 分享 )</x:v>
      </x:c>
      <x:c r="D325" s="5" t="str">
        <x:v>https://www.iesdouyin.com/share/video/7685351789788400905</x:v>
      </x:c>
      <x:c r="E325" s="5" t="str">
        <x:v>iesdouyin.com</x:v>
      </x:c>
      <x:c r="F325" s="5" t="str">
        <x:v>UGC/视频/公众号</x:v>
      </x:c>
      <x:c r="G325" s="5" t="str">
        <x:v>是</x:v>
      </x:c>
      <x:c r="H325" s="5" t="str">
        <x:v>怡可纳</x:v>
      </x:c>
      <x:c r="I325" s="5" t="str">
        <x:v>主动</x:v>
      </x:c>
      <x:c r="J325" s="5" t="str">
        <x:v>未核实</x:v>
      </x:c>
    </x:row>
    <x:row r="326" ht="27" customHeight="1">
      <x:c r="A326" s="5" t="str">
        <x:v>豆包</x:v>
      </x:c>
      <x:c r="B326" s="5" t="str">
        <x:v>Q19</x:v>
      </x:c>
      <x:c r="C326" s="5" t="str">
        <x:v>5. 锐评酵母蛋白粉（1） R2:酵母蛋白粉出来时间久了，可以说是百花齐放，每家都对于酵母蛋白有一些自己的理解，但是大家都是摸着怡可纳过河，然后竟然有很多做的比怡可纳还有特色。但是，酵母蛋白，还是要从试用装</x:v>
      </x:c>
      <x:c r="D326" s="5" t="str">
        <x:v>https://www.iesdouyin.com/share/video/7687082340167165093</x:v>
      </x:c>
      <x:c r="E326" s="5" t="str">
        <x:v>iesdouyin.com</x:v>
      </x:c>
      <x:c r="F326" s="5" t="str">
        <x:v>UGC/视频/公众号</x:v>
      </x:c>
      <x:c r="G326" s="5" t="str">
        <x:v>是</x:v>
      </x:c>
      <x:c r="H326" s="5" t="str">
        <x:v>怡可纳</x:v>
      </x:c>
      <x:c r="I326" s="5" t="str">
        <x:v>主动</x:v>
      </x:c>
      <x:c r="J326" s="5" t="str">
        <x:v>未核实</x:v>
      </x:c>
    </x:row>
    <x:row r="327" ht="27" customHeight="1">
      <x:c r="A327" s="5" t="str">
        <x:v>豆包</x:v>
      </x:c>
      <x:c r="B327" s="5" t="str">
        <x:v>Q19</x:v>
      </x:c>
      <x:c r="C327" s="5" t="str">
        <x:v>6. 新出的水解酵母蛋白，口味没达到预期，但营养成分表实打实提升了 希望多用一些新工艺，多做一些新产品，良性竞争才能让市场越来越好！#水解酵母蛋白</x:v>
      </x:c>
      <x:c r="D327" s="5" t="str">
        <x:v>https://www.iesdouyin.com/share/video/7679068090223831269</x:v>
      </x:c>
      <x:c r="E327" s="5" t="str">
        <x:v>iesdouyin.com</x:v>
      </x:c>
      <x:c r="F327" s="5" t="str">
        <x:v>UGC/视频/公众号</x:v>
      </x:c>
      <x:c r="G327" s="5" t="str">
        <x:v>是</x:v>
      </x:c>
      <x:c r="H327" s="5" t="str">
        <x:v>怡可纳</x:v>
      </x:c>
      <x:c r="I327" s="5" t="str">
        <x:v>主动</x:v>
      </x:c>
      <x:c r="J327" s="5" t="str">
        <x:v>未核实</x:v>
      </x:c>
    </x:row>
    <x:row r="328" ht="27" customHeight="1">
      <x:c r="A328" s="5" t="str">
        <x:v>豆包</x:v>
      </x:c>
      <x:c r="B328" s="5" t="str">
        <x:v>Q19</x:v>
      </x:c>
      <x:c r="C328" s="5" t="str">
        <x:v>7. 为 保持 客观 就 不 打分 排名 了 ， 以上 纯属 十 年 补剂 从业者 的 客观 测评 ， 后面 有 新 酵母 蛋白 进 市场 ， 会 随时 更新 ！ # 酵母 蛋白 # 酵母 蛋白 大 测评 # All keep 酵母 蛋白 # 怡 可 纳 酵母 蛋白 # 赛 霸 酵母 蛋白</x:v>
      </x:c>
      <x:c r="D328" s="5" t="str">
        <x:v>https://www.iesdouyin.com/share/video/7537340102725455164</x:v>
      </x:c>
      <x:c r="E328" s="5" t="str">
        <x:v>iesdouyin.com</x:v>
      </x:c>
      <x:c r="F328" s="5" t="str">
        <x:v>UGC/视频/公众号</x:v>
      </x:c>
      <x:c r="G328" s="5" t="str">
        <x:v>是</x:v>
      </x:c>
      <x:c r="H328" s="5" t="str">
        <x:v>怡可纳</x:v>
      </x:c>
      <x:c r="I328" s="5" t="str">
        <x:v>主动</x:v>
      </x:c>
      <x:c r="J328" s="5" t="str">
        <x:v>未核实</x:v>
      </x:c>
    </x:row>
    <x:row r="329" ht="27" customHeight="1">
      <x:c r="A329" s="5" t="str">
        <x:v>豆包</x:v>
      </x:c>
      <x:c r="B329" s="5" t="str">
        <x:v>Q19</x:v>
      </x:c>
      <x:c r="C329" s="5" t="str">
        <x:v>8. 89 两 磅 的 酵母 蛋白粉 性 价 比 高 适合 学生 党 前期 过渡 # 蛋白粉 # 补剂 # 健身 # 自律</x:v>
      </x:c>
      <x:c r="D329" s="5" t="str">
        <x:v>https://www.iesdouyin.com/share/video/7519892230607441209</x:v>
      </x:c>
      <x:c r="E329" s="5" t="str">
        <x:v>iesdouyin.com</x:v>
      </x:c>
      <x:c r="F329" s="5" t="str">
        <x:v>UGC/视频/公众号</x:v>
      </x:c>
      <x:c r="G329" s="5" t="str">
        <x:v>是</x:v>
      </x:c>
      <x:c r="H329" s="5" t="str">
        <x:v>怡可纳</x:v>
      </x:c>
      <x:c r="I329" s="5" t="str">
        <x:v>主动</x:v>
      </x:c>
      <x:c r="J329" s="5" t="str">
        <x:v>未核实</x:v>
      </x:c>
    </x:row>
    <x:row r="330" ht="27" customHeight="1">
      <x:c r="A330" s="5" t="str">
        <x:v>豆包</x:v>
      </x:c>
      <x:c r="B330" s="5" t="str">
        <x:v>Q19</x:v>
      </x:c>
      <x:c r="C330" s="5" t="str">
        <x:v>9. 怡 可 纳 酵母 蛋白粉 ， 159 元 4 磅 ！ 蛋白质 质量 优 ， 不用 考虑 乳糖 不 耐受 ， 同样 都是 补充 ！ 沫子 较 多 ， 轻摇 就 行 ！ # 好物 推荐 # 蛋白粉 # 增 肌 # 健身 干货 # 补剂 @ DOU + 小 助手</x:v>
      </x:c>
      <x:c r="D330" s="5" t="str">
        <x:v>https://www.iesdouyin.com/share/video/7447760968010026278</x:v>
      </x:c>
      <x:c r="E330" s="5" t="str">
        <x:v>iesdouyin.com</x:v>
      </x:c>
      <x:c r="F330" s="5" t="str">
        <x:v>UGC/视频/公众号</x:v>
      </x:c>
      <x:c r="G330" s="5" t="str">
        <x:v>是</x:v>
      </x:c>
      <x:c r="H330" s="5" t="str">
        <x:v>怡可纳</x:v>
      </x:c>
      <x:c r="I330" s="5" t="str">
        <x:v>主动</x:v>
      </x:c>
      <x:c r="J330" s="5" t="str">
        <x:v>未核实</x:v>
      </x:c>
    </x:row>
    <x:row r="331" ht="27" customHeight="1">
      <x:c r="A331" s="5" t="str">
        <x:v>豆包</x:v>
      </x:c>
      <x:c r="B331" s="5" t="str">
        <x:v>Q19</x:v>
      </x:c>
      <x:c r="C331" s="5" t="str">
        <x:v>10. 这条 不是 广子 ， 自用 推荐 # 怡 可 纳 酵母 蛋白粉</x:v>
      </x:c>
      <x:c r="D331" s="5" t="str">
        <x:v>https://www.iesdouyin.com/share/video/7630373704543740145</x:v>
      </x:c>
      <x:c r="E331" s="5" t="str">
        <x:v>iesdouyin.com</x:v>
      </x:c>
      <x:c r="F331" s="5" t="str">
        <x:v>UGC/视频/公众号</x:v>
      </x:c>
      <x:c r="G331" s="5" t="str">
        <x:v>是</x:v>
      </x:c>
      <x:c r="H331" s="5" t="str">
        <x:v>怡可纳</x:v>
      </x:c>
      <x:c r="I331" s="5" t="str">
        <x:v>主动</x:v>
      </x:c>
      <x:c r="J331" s="5" t="str">
        <x:v>未核实</x:v>
      </x:c>
    </x:row>
    <x:row r="332" ht="27" customHeight="1">
      <x:c r="A332" s="5" t="str">
        <x:v>豆包</x:v>
      </x:c>
      <x:c r="B332" s="5" t="str">
        <x:v>Q19</x:v>
      </x:c>
      <x:c r="C332" s="5" t="str">
        <x:v>11. 觉得 乳清 贵 的 上帝 们 ！ 试试 怡 可 纳 这款 酵母 蛋白粉 ， 价格 香 ！ 氨基酸 种类 齐全 ！ 口感 问题 有 了 绿豆 冰沙 味 也 不 输 了 ！ 真的 不错 ！ # 酵母 蛋白粉 # 蛋白粉 # 补剂 # 健身 补剂 # 健身 @ DOU + 小 助手 @ 粗人 ( 补剂 零食 好物 分享 )</x:v>
      </x:c>
      <x:c r="D332" s="5" t="str">
        <x:v>https://www.iesdouyin.com/share/video/7633355908151528744</x:v>
      </x:c>
      <x:c r="E332" s="5" t="str">
        <x:v>iesdouyin.com</x:v>
      </x:c>
      <x:c r="F332" s="5" t="str">
        <x:v>UGC/视频/公众号</x:v>
      </x:c>
      <x:c r="G332" s="5" t="str">
        <x:v>是</x:v>
      </x:c>
      <x:c r="H332" s="5" t="str">
        <x:v>怡可纳</x:v>
      </x:c>
      <x:c r="I332" s="5" t="str">
        <x:v>主动</x:v>
      </x:c>
      <x:c r="J332" s="5" t="str">
        <x:v>未核实</x:v>
      </x:c>
    </x:row>
    <x:row r="333" ht="27" customHeight="1">
      <x:c r="A333" s="5" t="str">
        <x:v>豆包</x:v>
      </x:c>
      <x:c r="B333" s="5" t="str">
        <x:v>Q19</x:v>
      </x:c>
      <x:c r="C333" s="5" t="str">
        <x:v>12. 最近 网上 热议 的 酵母 蛋白 ， 是 什么 来头 ？ 酵母 蛋白 为何 能 异军突起 ？ # 建议 普及 酵母 蛋白 # 精准 营养 # 营养师 推荐 # 健康 生活 # 酵母 蛋白 优质 蛋白 新 选择</x:v>
      </x:c>
      <x:c r="D333" s="5" t="str">
        <x:v>https://www.iesdouyin.com/share/video/7530855514188549428</x:v>
      </x:c>
      <x:c r="E333" s="5" t="str">
        <x:v>iesdouyin.com</x:v>
      </x:c>
      <x:c r="F333" s="5" t="str">
        <x:v>UGC/视频/公众号</x:v>
      </x:c>
      <x:c r="G333" s="5" t="str">
        <x:v>是</x:v>
      </x:c>
      <x:c r="H333" s="5" t="str">
        <x:v>怡可纳</x:v>
      </x:c>
      <x:c r="I333" s="5" t="str">
        <x:v>主动</x:v>
      </x:c>
      <x:c r="J333" s="5" t="str">
        <x:v>未核实</x:v>
      </x:c>
    </x:row>
    <x:row r="334" ht="27" customHeight="1">
      <x:c r="A334" s="5" t="str">
        <x:v>豆包</x:v>
      </x:c>
      <x:c r="B334" s="5" t="str">
        <x:v>Q19</x:v>
      </x:c>
      <x:c r="C334" s="5" t="str">
        <x:v>13. 国家 认证 的 新 蛋白 : 酵母 蛋白</x:v>
      </x:c>
      <x:c r="D334" s="5" t="str">
        <x:v>https://m.thepaper.cn/newsDetail_forward_31387654</x:v>
      </x:c>
      <x:c r="E334" s="5" t="str">
        <x:v>thepaper.cn</x:v>
      </x:c>
      <x:c r="F334" s="5" t="str">
        <x:v>其他网页</x:v>
      </x:c>
      <x:c r="G334" s="5" t="str">
        <x:v>是</x:v>
      </x:c>
      <x:c r="H334" s="5" t="str">
        <x:v>怡可纳</x:v>
      </x:c>
      <x:c r="I334" s="5" t="str">
        <x:v>主动</x:v>
      </x:c>
      <x:c r="J334" s="5" t="str">
        <x:v>未核实</x:v>
      </x:c>
    </x:row>
    <x:row r="335" ht="27" customHeight="1">
      <x:c r="A335" s="5" t="str">
        <x:v>豆包</x:v>
      </x:c>
      <x:c r="B335" s="5" t="str">
        <x:v>Q19</x:v>
      </x:c>
      <x:c r="C335" s="5" t="str">
        <x:v>14. 酵母 蛋白 : 低 嘌呤 优质 蛋白 的 理性 选择 _ 99 健康 网</x:v>
      </x:c>
      <x:c r="D335" s="5" t="str">
        <x:v>https://m.99.com.cn/a/1729394/</x:v>
      </x:c>
      <x:c r="E335" s="5" t="str">
        <x:v>99.com.cn</x:v>
      </x:c>
      <x:c r="F335" s="5" t="str">
        <x:v>其他网页</x:v>
      </x:c>
      <x:c r="G335" s="5" t="str">
        <x:v>是</x:v>
      </x:c>
      <x:c r="H335" s="5" t="str">
        <x:v>怡可纳</x:v>
      </x:c>
      <x:c r="I335" s="5" t="str">
        <x:v>主动</x:v>
      </x:c>
      <x:c r="J335" s="5" t="str">
        <x:v>未核实</x:v>
      </x:c>
    </x:row>
    <x:row r="336" ht="27" customHeight="1">
      <x:c r="A336" s="5" t="str">
        <x:v>豆包</x:v>
      </x:c>
      <x:c r="B336" s="5" t="str">
        <x:v>Q19</x:v>
      </x:c>
      <x:c r="C336" s="5" t="str">
        <x:v>15. 重新 定义 优质 蛋白 - an pro 酵母 蛋白</x:v>
      </x:c>
      <x:c r="D336" s="5" t="str">
        <x:v>https://www.angelyeast.com/Yeastprotein.html</x:v>
      </x:c>
      <x:c r="E336" s="5" t="str">
        <x:v>angelyeast.com</x:v>
      </x:c>
      <x:c r="F336" s="5" t="str">
        <x:v>企业官网</x:v>
      </x:c>
      <x:c r="G336" s="5" t="str">
        <x:v>是</x:v>
      </x:c>
      <x:c r="H336" s="5" t="str">
        <x:v>怡可纳</x:v>
      </x:c>
      <x:c r="I336" s="5" t="str">
        <x:v>主动</x:v>
      </x:c>
      <x:c r="J336" s="5" t="str">
        <x:v>未核实</x:v>
      </x:c>
    </x:row>
    <x:row r="337" ht="27" customHeight="1">
      <x:c r="A337" s="5" t="str">
        <x:v>豆包</x:v>
      </x:c>
      <x:c r="B337" s="5" t="str">
        <x:v>Q19</x:v>
      </x:c>
      <x:c r="C337" s="5" t="str">
        <x:v>16. 安琪 纽特</x:v>
      </x:c>
      <x:c r="D337" s="5" t="str">
        <x:v>https://www.angelnutritech.com/zh/news/476.html</x:v>
      </x:c>
      <x:c r="E337" s="5" t="str">
        <x:v>angelnutritech.com</x:v>
      </x:c>
      <x:c r="F337" s="5" t="str">
        <x:v>其他网页</x:v>
      </x:c>
      <x:c r="G337" s="5" t="str">
        <x:v>是</x:v>
      </x:c>
      <x:c r="H337" s="5" t="str">
        <x:v>怡可纳</x:v>
      </x:c>
      <x:c r="I337" s="5" t="str">
        <x:v>主动</x:v>
      </x:c>
      <x:c r="J337" s="5" t="str">
        <x:v>未核实</x:v>
      </x:c>
    </x:row>
    <x:row r="338" ht="27" customHeight="1">
      <x:c r="A338" s="5" t="str">
        <x:v>豆包</x:v>
      </x:c>
      <x:c r="B338" s="5" t="str">
        <x:v>Q19</x:v>
      </x:c>
      <x:c r="C338" s="5" t="str">
        <x:v>17. 安琪 酵母 蛋白 食品级 现货 现 发 - 上海 觉 图 生物 科技 有限 公司</x:v>
      </x:c>
      <x:c r="D338" s="5" t="str">
        <x:v>https://www.juetushengwu.com/products/show22478041.html</x:v>
      </x:c>
      <x:c r="E338" s="5" t="str">
        <x:v>juetushengwu.com</x:v>
      </x:c>
      <x:c r="F338" s="5" t="str">
        <x:v>其他网页</x:v>
      </x:c>
      <x:c r="G338" s="5" t="str">
        <x:v>是</x:v>
      </x:c>
      <x:c r="H338" s="5" t="str">
        <x:v>怡可纳</x:v>
      </x:c>
      <x:c r="I338" s="5" t="str">
        <x:v>主动</x:v>
      </x:c>
      <x:c r="J338" s="5" t="str">
        <x:v>未核实</x:v>
      </x:c>
    </x:row>
    <x:row r="339" ht="27" customHeight="1">
      <x:c r="A339" s="5" t="str">
        <x:v>豆包</x:v>
      </x:c>
      <x:c r="B339" s="5" t="str">
        <x:v>Q20</x:v>
      </x:c>
      <x:c r="C339" s="5" t="str">
        <x:v>1. 锐评酵母蛋白粉（1） R2:酵母蛋白粉出来时间久了，可以说是百花齐放，每家都对于酵母蛋白有一些自己的理解，但是大家都是摸着怡可纳过河，然后竟然有很多做的比怡可纳还有特色。但是，酵母蛋白，还是要从试用装</x:v>
      </x:c>
      <x:c r="D339" s="5" t="str">
        <x:v>https://www.iesdouyin.com/share/video/7687082340167165093</x:v>
      </x:c>
      <x:c r="E339" s="5" t="str">
        <x:v>iesdouyin.com</x:v>
      </x:c>
      <x:c r="F339" s="5" t="str">
        <x:v>UGC/视频/公众号</x:v>
      </x:c>
      <x:c r="G339" s="5" t="str">
        <x:v>是</x:v>
      </x:c>
      <x:c r="H339" s="5" t="str">
        <x:v>怡可纳、康比特、诺特兰德、ON/欧普特蒙</x:v>
      </x:c>
      <x:c r="I339" s="5" t="str">
        <x:v>主动</x:v>
      </x:c>
      <x:c r="J339" s="5" t="str">
        <x:v>未核实</x:v>
      </x:c>
    </x:row>
    <x:row r="340" ht="27" customHeight="1">
      <x:c r="A340" s="5" t="str">
        <x:v>豆包</x:v>
      </x:c>
      <x:c r="B340" s="5" t="str">
        <x:v>Q20</x:v>
      </x:c>
      <x:c r="C340" s="5" t="str">
        <x:v>2. 我一共喝过两款，先喝的怡可纳，现在买的米当卡，怡可纳蛋白质含量低一点，价格也贵一点，米当卡蛋白质含量高一些，价格也便宜一些，但是米当卡喝完嗓子会不舒服好几个小时，喝完一小会就开始不舒服#蛋白粉推荐 #</x:v>
      </x:c>
      <x:c r="D340" s="5" t="str">
        <x:v>https://www.iesdouyin.com/share/video/7659361704563785829</x:v>
      </x:c>
      <x:c r="E340" s="5" t="str">
        <x:v>iesdouyin.com</x:v>
      </x:c>
      <x:c r="F340" s="5" t="str">
        <x:v>UGC/视频/公众号</x:v>
      </x:c>
      <x:c r="G340" s="5" t="str">
        <x:v>是</x:v>
      </x:c>
      <x:c r="H340" s="5" t="str">
        <x:v>怡可纳、康比特、诺特兰德、ON/欧普特蒙</x:v>
      </x:c>
      <x:c r="I340" s="5" t="str">
        <x:v>主动</x:v>
      </x:c>
      <x:c r="J340" s="5" t="str">
        <x:v>未核实</x:v>
      </x:c>
    </x:row>
    <x:row r="341" ht="27" customHeight="1">
      <x:c r="A341" s="5" t="str">
        <x:v>豆包</x:v>
      </x:c>
      <x:c r="B341" s="5" t="str">
        <x:v>Q20</x:v>
      </x:c>
      <x:c r="C341" s="5" t="str">
        <x:v>3. 真的 不要 因为 便宜 ， 就 看 不起 它 。 补充 蛋白质 来 说 它 真的 没 问题 ！ 关键 你 看 这 价格 多 香 ！ 5 磅 才 多少 钱 啊 ！ 有 需要 的 ！ 感谢 各位 上帝 支持 ！ ！ # 酵母 蛋白粉 # 蛋白质 # 健身 补剂 # 好物 分享 # 蛋白粉 推荐 @ 粗人 ( 补剂 零食 好物 分享 ) @ DOU + 小 助手</x:v>
      </x:c>
      <x:c r="D341" s="5" t="str">
        <x:v>https://www.iesdouyin.com/share/video/7662735838175326309</x:v>
      </x:c>
      <x:c r="E341" s="5" t="str">
        <x:v>iesdouyin.com</x:v>
      </x:c>
      <x:c r="F341" s="5" t="str">
        <x:v>UGC/视频/公众号</x:v>
      </x:c>
      <x:c r="G341" s="5" t="str">
        <x:v>是</x:v>
      </x:c>
      <x:c r="H341" s="5" t="str">
        <x:v>怡可纳、康比特、诺特兰德、ON/欧普特蒙</x:v>
      </x:c>
      <x:c r="I341" s="5" t="str">
        <x:v>主动</x:v>
      </x:c>
      <x:c r="J341" s="5" t="str">
        <x:v>未核实</x:v>
      </x:c>
    </x:row>
    <x:row r="342" ht="27" customHeight="1">
      <x:c r="A342" s="5" t="str">
        <x:v>豆包</x:v>
      </x:c>
      <x:c r="B342" s="5" t="str">
        <x:v>Q20</x:v>
      </x:c>
      <x:c r="C342" s="5" t="str">
        <x:v>4. 蛋白粉 怎么 选 ？ 妥妥 兄弟 们 快乐 粉 啊 ！ 一定 要 把握 好 # 怡 可 纳 酵母 蛋白粉 # 健身 补剂</x:v>
      </x:c>
      <x:c r="D342" s="5" t="str">
        <x:v>https://www.iesdouyin.com/share/video/7669756460344124601</x:v>
      </x:c>
      <x:c r="E342" s="5" t="str">
        <x:v>iesdouyin.com</x:v>
      </x:c>
      <x:c r="F342" s="5" t="str">
        <x:v>UGC/视频/公众号</x:v>
      </x:c>
      <x:c r="G342" s="5" t="str">
        <x:v>是</x:v>
      </x:c>
      <x:c r="H342" s="5" t="str">
        <x:v>怡可纳、康比特、诺特兰德、ON/欧普特蒙</x:v>
      </x:c>
      <x:c r="I342" s="5" t="str">
        <x:v>主动</x:v>
      </x:c>
      <x:c r="J342" s="5" t="str">
        <x:v>未核实</x:v>
      </x:c>
    </x:row>
    <x:row r="343" ht="27" customHeight="1">
      <x:c r="A343" s="5" t="str">
        <x:v>豆包</x:v>
      </x:c>
      <x:c r="B343" s="5" t="str">
        <x:v>Q20</x:v>
      </x:c>
      <x:c r="C343" s="5" t="str">
        <x:v>5. 蛋白粉配料表给我看笑了。对比老三家酵母蛋白粉，概特和米当卡都不错，但是看到这个第三个怡可纳的，难评，之前一直以为大牌子就有保障结果，诶，有的配料表连相关成分都没有还敢写［XX味］［xx口味］，真是把消</x:v>
      </x:c>
      <x:c r="D343" s="5" t="str">
        <x:v>https://www.iesdouyin.com/share/video/7632164421302103674</x:v>
      </x:c>
      <x:c r="E343" s="5" t="str">
        <x:v>iesdouyin.com</x:v>
      </x:c>
      <x:c r="F343" s="5" t="str">
        <x:v>UGC/视频/公众号</x:v>
      </x:c>
      <x:c r="G343" s="5" t="str">
        <x:v>是</x:v>
      </x:c>
      <x:c r="H343" s="5" t="str">
        <x:v>怡可纳、康比特、诺特兰德、ON/欧普特蒙</x:v>
      </x:c>
      <x:c r="I343" s="5" t="str">
        <x:v>主动</x:v>
      </x:c>
      <x:c r="J343" s="5" t="str">
        <x:v>未核实</x:v>
      </x:c>
    </x:row>
    <x:row r="344" ht="27" customHeight="1">
      <x:c r="A344" s="5" t="str">
        <x:v>豆包</x:v>
      </x:c>
      <x:c r="B344" s="5" t="str">
        <x:v>Q20</x:v>
      </x:c>
      <x:c r="C344" s="5" t="str">
        <x:v>6. 老牌 酵母 蛋白粉 了 ！ 想 喝 高 品质 怕 踩 雷 的 闭眼 入 这款 就 行 ！ 怡 可 纳 真的 是 算 酵母 的 行业 头牌 及 先行者 了 ！ 有 需要 的 感谢 支持 ！ # 酵母 蛋白粉 # 蛋白粉 # 补剂 # 健身 补剂 # 健身 @ DOU + 小 助手 @ 粗人 ( 补剂 零食 好物 分享 )</x:v>
      </x:c>
      <x:c r="D344" s="5" t="str">
        <x:v>https://www.iesdouyin.com/share/video/7685351789788400905</x:v>
      </x:c>
      <x:c r="E344" s="5" t="str">
        <x:v>iesdouyin.com</x:v>
      </x:c>
      <x:c r="F344" s="5" t="str">
        <x:v>UGC/视频/公众号</x:v>
      </x:c>
      <x:c r="G344" s="5" t="str">
        <x:v>是</x:v>
      </x:c>
      <x:c r="H344" s="5" t="str">
        <x:v>怡可纳、康比特、诺特兰德、ON/欧普特蒙</x:v>
      </x:c>
      <x:c r="I344" s="5" t="str">
        <x:v>主动</x:v>
      </x:c>
      <x:c r="J344" s="5" t="str">
        <x:v>未核实</x:v>
      </x:c>
    </x:row>
    <x:row r="345" ht="27" customHeight="1">
      <x:c r="A345" s="5" t="str">
        <x:v>豆包</x:v>
      </x:c>
      <x:c r="B345" s="5" t="str">
        <x:v>Q20</x:v>
      </x:c>
      <x:c r="C345" s="5" t="str">
        <x:v>7. 健身 也 可以 吃 甜甜 的 🤗 🙋 ‍ ♀ ️ 健身 人 刚需 补给 ✨ 三分 练 七分 吃 ， 补 对 蛋白 才 不 白费 训练 ！ 怡 可 纳 酵母 蛋白粉 太 适合 运动 党 了 ✅ 0 乳糖 ｜ 乳糖 不 耐 也 能 喝 ， 温和 不 胀气 ✅ 氨基酸 齐全 ｜ 练 后 修复 超 适配 ✅ 口感 清爽 ｜ 多 口味 可选 ， 好喝 不 腻 ✅ 冲泡 方便 ｜ 随手 一杯 ， 轻松 补 够</x:v>
      </x:c>
      <x:c r="D345" s="5" t="str">
        <x:v>https://www.iesdouyin.com/share/video/7679006522156583642</x:v>
      </x:c>
      <x:c r="E345" s="5" t="str">
        <x:v>iesdouyin.com</x:v>
      </x:c>
      <x:c r="F345" s="5" t="str">
        <x:v>UGC/视频/公众号</x:v>
      </x:c>
      <x:c r="G345" s="5" t="str">
        <x:v>是</x:v>
      </x:c>
      <x:c r="H345" s="5" t="str">
        <x:v>怡可纳、康比特、诺特兰德、ON/欧普特蒙</x:v>
      </x:c>
      <x:c r="I345" s="5" t="str">
        <x:v>主动</x:v>
      </x:c>
      <x:c r="J345" s="5" t="str">
        <x:v>未核实</x:v>
      </x:c>
    </x:row>
    <x:row r="346" ht="27" customHeight="1">
      <x:c r="A346" s="5" t="str">
        <x:v>豆包</x:v>
      </x:c>
      <x:c r="B346" s="5" t="str">
        <x:v>Q20</x:v>
      </x:c>
      <x:c r="C346" s="5" t="str">
        <x:v>8. 怡可纳 酵母 蛋白粉 健身 高 蛋白质 粉 运动 非 乳清 蛋白粉 官方 旗舰 店 正品 - 淘宝 taobao | 天猫 tmall</x:v>
      </x:c>
      <x:c r="D346" s="5" t="str">
        <x:v>https://www.taobao.com/list/item/855844450040.htm</x:v>
      </x:c>
      <x:c r="E346" s="5" t="str">
        <x:v>taobao.com</x:v>
      </x:c>
      <x:c r="F346" s="5" t="str">
        <x:v>电商</x:v>
      </x:c>
      <x:c r="G346" s="5" t="str">
        <x:v>是</x:v>
      </x:c>
      <x:c r="H346" s="5" t="str">
        <x:v>怡可纳、康比特、诺特兰德、ON/欧普特蒙</x:v>
      </x:c>
      <x:c r="I346" s="5" t="str">
        <x:v>主动</x:v>
      </x:c>
      <x:c r="J346" s="5" t="str">
        <x:v>未核实</x:v>
      </x:c>
    </x:row>
    <x:row r="347" ht="27" customHeight="1">
      <x:c r="A347" s="5" t="str">
        <x:v>豆包</x:v>
      </x:c>
      <x:c r="B347" s="5" t="str">
        <x:v>Q20</x:v>
      </x:c>
      <x:c r="C347" s="5" t="str">
        <x:v>9. 怡 可 纳 酵母 蛋白粉 ， 在 100 多 5 磅 的 价格 下 ， 9 种 必需 氨基酸 以及 溶解度 、 消化率 和 乳清 蛋白 不相上下 。 # 健身 # 蛋白粉 推荐</x:v>
      </x:c>
      <x:c r="D347" s="5" t="str">
        <x:v>https://www.iesdouyin.com/share/video/7678602677362061797</x:v>
      </x:c>
      <x:c r="E347" s="5" t="str">
        <x:v>iesdouyin.com</x:v>
      </x:c>
      <x:c r="F347" s="5" t="str">
        <x:v>UGC/视频/公众号</x:v>
      </x:c>
      <x:c r="G347" s="5" t="str">
        <x:v>是</x:v>
      </x:c>
      <x:c r="H347" s="5" t="str">
        <x:v>怡可纳、康比特、诺特兰德、ON/欧普特蒙</x:v>
      </x:c>
      <x:c r="I347" s="5" t="str">
        <x:v>主动</x:v>
      </x:c>
      <x:c r="J347" s="5" t="str">
        <x:v>未核实</x:v>
      </x:c>
    </x:row>
    <x:row r="348" ht="27" customHeight="1">
      <x:c r="A348" s="5" t="str">
        <x:v>豆包</x:v>
      </x:c>
      <x:c r="B348" s="5" t="str">
        <x:v>Q20</x:v>
      </x:c>
      <x:c r="C348" s="5" t="str">
        <x:v>10. 怡可纳 乳清 蛋白粉 天津 生产 男女 通用 2 磅 71 % 高 蛋白质 粉 - taobao - tmall</x:v>
      </x:c>
      <x:c r="D348" s="5" t="str">
        <x:v>https://www.taobao.com/list/item/703571616945.htm</x:v>
      </x:c>
      <x:c r="E348" s="5" t="str">
        <x:v>taobao.com</x:v>
      </x:c>
      <x:c r="F348" s="5" t="str">
        <x:v>电商</x:v>
      </x:c>
      <x:c r="G348" s="5" t="str">
        <x:v>是</x:v>
      </x:c>
      <x:c r="H348" s="5" t="str">
        <x:v>怡可纳、康比特、诺特兰德、ON/欧普特蒙</x:v>
      </x:c>
      <x:c r="I348" s="5" t="str">
        <x:v>主动</x:v>
      </x:c>
      <x:c r="J348" s="5" t="str">
        <x:v>未核实</x:v>
      </x:c>
    </x:row>
    <x:row r="349" ht="27" customHeight="1">
      <x:c r="A349" s="5" t="str">
        <x:v>豆包</x:v>
      </x:c>
      <x:c r="B349" s="5" t="str">
        <x:v>Q20</x:v>
      </x:c>
      <x:c r="C349" s="5" t="str">
        <x:v>11. # 运动 营养 补充 剂 # 怡 可 纳 # 酵母 蛋白粉 # 怡 可 纳 蛋白粉 # 健身 日常 分享</x:v>
      </x:c>
      <x:c r="D349" s="5" t="str">
        <x:v>https://www.iesdouyin.com/share/video/7672303223144015845</x:v>
      </x:c>
      <x:c r="E349" s="5" t="str">
        <x:v>iesdouyin.com</x:v>
      </x:c>
      <x:c r="F349" s="5" t="str">
        <x:v>UGC/视频/公众号</x:v>
      </x:c>
      <x:c r="G349" s="5" t="str">
        <x:v>是</x:v>
      </x:c>
      <x:c r="H349" s="5" t="str">
        <x:v>怡可纳、康比特、诺特兰德、ON/欧普特蒙</x:v>
      </x:c>
      <x:c r="I349" s="5" t="str">
        <x:v>主动</x:v>
      </x:c>
      <x:c r="J349" s="5" t="str">
        <x:v>未核实</x:v>
      </x:c>
    </x:row>
    <x:row r="350" ht="27" customHeight="1">
      <x:c r="A350" s="5" t="str">
        <x:v>元宝</x:v>
      </x:c>
      <x:c r="B350" s="5" t="str">
        <x:v>Q1</x:v>
      </x:c>
      <x:c r="C350" s="5" t="str">
        <x:v>被加进蛋白棒､代餐奶昔的酵母蛋白,到底是什么?</x:v>
      </x:c>
      <x:c r="D350" s="5" t="str">
        <x:v>http://mp.weixin.qq.com/s?__biz=MjM5ODA1OTM0Mg==&amp;mid=2650346904&amp;idx=1&amp;sn=153ca7695ea64df65d551b671bc8b665&amp;chksm=bfcaed9a4f0b84ae0cfa81673ae41bbee44a9f042cc813f55cf805878f6a98c438722faef46e#rd</x:v>
      </x:c>
      <x:c r="E350" s="5" t="str">
        <x:v>mp.weixin.qq.com</x:v>
      </x:c>
      <x:c r="F350" s="5" t="str">
        <x:v>UGC/视频/公众号</x:v>
      </x:c>
      <x:c r="G350" s="5" t="str">
        <x:v>否</x:v>
      </x:c>
      <x:c r="H350" s="5" t="str"/>
      <x:c r="I350" s="5" t="str">
        <x:v>自然</x:v>
      </x:c>
      <x:c r="J350" s="5" t="str">
        <x:v>未核实</x:v>
      </x:c>
    </x:row>
    <x:row r="351" ht="27" customHeight="1">
      <x:c r="A351" s="5" t="str">
        <x:v>元宝</x:v>
      </x:c>
      <x:c r="B351" s="5" t="str">
        <x:v>Q1</x:v>
      </x:c>
      <x:c r="C351" s="5" t="str">
        <x:v>酵母蛋白:打破嘌呤迷思,开启健康蛋白新纪元</x:v>
      </x:c>
      <x:c r="D351" s="5" t="str">
        <x:v>https://www.kepuchina.cn/article/articleinfo?ar_id=656751&amp;business_type=100&amp;classify=0</x:v>
      </x:c>
      <x:c r="E351" s="5" t="str">
        <x:v>kepuchina.cn</x:v>
      </x:c>
      <x:c r="F351" s="5" t="str">
        <x:v>其他网页</x:v>
      </x:c>
      <x:c r="G351" s="5" t="str">
        <x:v>否</x:v>
      </x:c>
      <x:c r="H351" s="5" t="str"/>
      <x:c r="I351" s="5" t="str">
        <x:v>自然</x:v>
      </x:c>
      <x:c r="J351" s="5" t="str">
        <x:v>未核实</x:v>
      </x:c>
    </x:row>
    <x:row r="352" ht="27" customHeight="1">
      <x:c r="A352" s="5" t="str">
        <x:v>元宝</x:v>
      </x:c>
      <x:c r="B352" s="5" t="str">
        <x:v>Q1</x:v>
      </x:c>
      <x:c r="C352" s="5" t="str">
        <x:v>酵母蛋白领航新食代,解锁营养与健康的双重奥秘</x:v>
      </x:c>
      <x:c r="D352" s="5" t="str">
        <x:v>https://cloud.kepuchina.cn/newSearch/imgText?id=7155007806657773568&amp;is_self=1</x:v>
      </x:c>
      <x:c r="E352" s="5" t="str">
        <x:v>cloud.kepuchina.cn</x:v>
      </x:c>
      <x:c r="F352" s="5" t="str">
        <x:v>其他网页</x:v>
      </x:c>
      <x:c r="G352" s="5" t="str">
        <x:v>否</x:v>
      </x:c>
      <x:c r="H352" s="5" t="str"/>
      <x:c r="I352" s="5" t="str">
        <x:v>自然</x:v>
      </x:c>
      <x:c r="J352" s="5" t="str">
        <x:v>未核实</x:v>
      </x:c>
    </x:row>
    <x:row r="353" ht="27" customHeight="1">
      <x:c r="A353" s="5" t="str">
        <x:v>元宝</x:v>
      </x:c>
      <x:c r="B353" s="5" t="str">
        <x:v>Q1</x:v>
      </x:c>
      <x:c r="C353" s="5" t="str">
        <x:v>解读《关于巴拉圭冬青叶(马黛茶叶)等9种“三新食品”的公告》(2023年第10号)</x:v>
      </x:c>
      <x:c r="D353" s="5" t="str">
        <x:v>https://www.cdcfi.cn/webapp/accessory/ueditor/portal.cdcfi.cn/upload/file/2023-12-13/1702435638109076693.pdf</x:v>
      </x:c>
      <x:c r="E353" s="5" t="str">
        <x:v>cdcfi.cn</x:v>
      </x:c>
      <x:c r="F353" s="5" t="str">
        <x:v>其他网页</x:v>
      </x:c>
      <x:c r="G353" s="5" t="str">
        <x:v>否</x:v>
      </x:c>
      <x:c r="H353" s="5" t="str"/>
      <x:c r="I353" s="5" t="str">
        <x:v>自然</x:v>
      </x:c>
      <x:c r="J353" s="5" t="str">
        <x:v>未核实</x:v>
      </x:c>
    </x:row>
    <x:row r="354" ht="27" customHeight="1">
      <x:c r="A354" s="5" t="str">
        <x:v>元宝</x:v>
      </x:c>
      <x:c r="B354" s="5" t="str">
        <x:v>Q1</x:v>
      </x:c>
      <x:c r="C354" s="5" t="str">
        <x:v>揭秘酵母蛋白:神奇的营养宝库,引领营养新潮流!</x:v>
      </x:c>
      <x:c r="D354" s="5" t="str">
        <x:v>https://www.foodscn.cn/zixun/11344</x:v>
      </x:c>
      <x:c r="E354" s="5" t="str">
        <x:v>foodscn.cn</x:v>
      </x:c>
      <x:c r="F354" s="5" t="str">
        <x:v>其他网页</x:v>
      </x:c>
      <x:c r="G354" s="5" t="str">
        <x:v>否</x:v>
      </x:c>
      <x:c r="H354" s="5" t="str"/>
      <x:c r="I354" s="5" t="str">
        <x:v>自然</x:v>
      </x:c>
      <x:c r="J354" s="5" t="str">
        <x:v>未核实</x:v>
      </x:c>
    </x:row>
    <x:row r="355" ht="27" customHeight="1">
      <x:c r="A355" s="5" t="str">
        <x:v>元宝</x:v>
      </x:c>
      <x:c r="B355" s="5" t="str">
        <x:v>Q1</x:v>
      </x:c>
      <x:c r="C355" s="5" t="str">
        <x:v>首部酵母蛋白白皮书发布,国家战略级爆款原料真的来了!</x:v>
      </x:c>
      <x:c r="D355" s="5" t="str">
        <x:v>https://shipin.sdnews.com.cn/spts/202604/t20260424_4669406.htm</x:v>
      </x:c>
      <x:c r="E355" s="5" t="str">
        <x:v>shipin.sdnews.com.cn</x:v>
      </x:c>
      <x:c r="F355" s="5" t="str">
        <x:v>综合媒体/转载</x:v>
      </x:c>
      <x:c r="G355" s="5" t="str">
        <x:v>否</x:v>
      </x:c>
      <x:c r="H355" s="5" t="str"/>
      <x:c r="I355" s="5" t="str">
        <x:v>自然</x:v>
      </x:c>
      <x:c r="J355" s="5" t="str">
        <x:v>未核实</x:v>
      </x:c>
    </x:row>
    <x:row r="356" ht="27" customHeight="1">
      <x:c r="A356" s="5" t="str">
        <x:v>元宝</x:v>
      </x:c>
      <x:c r="B356" s="5" t="str">
        <x:v>Q1</x:v>
      </x:c>
      <x:c r="C356" s="5" t="str">
        <x:v>酵母蛋白(萃取)</x:v>
      </x:c>
      <x:c r="D356" s="5" t="str">
        <x:v>https://wsjk.gansu.gov.cn/wsjk/c113471/202509/174200615/files/1ab97413d63d4877bf9590fc4ec2b625.pdf</x:v>
      </x:c>
      <x:c r="E356" s="5" t="str">
        <x:v>wsjk.gansu.gov.cn</x:v>
      </x:c>
      <x:c r="F356" s="5" t="str">
        <x:v>官方机构</x:v>
      </x:c>
      <x:c r="G356" s="5" t="str">
        <x:v>否</x:v>
      </x:c>
      <x:c r="H356" s="5" t="str"/>
      <x:c r="I356" s="5" t="str">
        <x:v>自然</x:v>
      </x:c>
      <x:c r="J356" s="5" t="str">
        <x:v>未核实</x:v>
      </x:c>
    </x:row>
    <x:row r="357" ht="27" customHeight="1">
      <x:c r="A357" s="5" t="str">
        <x:v>元宝</x:v>
      </x:c>
      <x:c r="B357" s="5" t="str">
        <x:v>Q1</x:v>
      </x:c>
      <x:c r="C357" s="5" t="str">
        <x:v>酵母蛋白是什么东西</x:v>
      </x:c>
      <x:c r="D357" s="5" t="str">
        <x:v>https://health.baidu.com/m/detail/ar_6365301333201512548</x:v>
      </x:c>
      <x:c r="E357" s="5" t="str">
        <x:v>health.baidu.com</x:v>
      </x:c>
      <x:c r="F357" s="5" t="str">
        <x:v>其他网页</x:v>
      </x:c>
      <x:c r="G357" s="5" t="str">
        <x:v>否</x:v>
      </x:c>
      <x:c r="H357" s="5" t="str"/>
      <x:c r="I357" s="5" t="str">
        <x:v>自然</x:v>
      </x:c>
      <x:c r="J357" s="5" t="str">
        <x:v>未核实</x:v>
      </x:c>
    </x:row>
    <x:row r="358" ht="27" customHeight="1">
      <x:c r="A358" s="5" t="str">
        <x:v>元宝</x:v>
      </x:c>
      <x:c r="B358" s="5" t="str">
        <x:v>Q1</x:v>
      </x:c>
      <x:c r="C358" s="5" t="str">
        <x:v>安琪AnPro</x:v>
      </x:c>
      <x:c r="D358" s="5" t="str">
        <x:v>https://baike.baidu.com/item/%E5%AE%89%E7%90%AAAnPro/65007547</x:v>
      </x:c>
      <x:c r="E358" s="5" t="str">
        <x:v>baike.baidu.com</x:v>
      </x:c>
      <x:c r="F358" s="5" t="str">
        <x:v>百科</x:v>
      </x:c>
      <x:c r="G358" s="5" t="str">
        <x:v>否</x:v>
      </x:c>
      <x:c r="H358" s="5" t="str"/>
      <x:c r="I358" s="5" t="str">
        <x:v>自然</x:v>
      </x:c>
      <x:c r="J358" s="5" t="str">
        <x:v>未核实</x:v>
      </x:c>
    </x:row>
    <x:row r="359" ht="27" customHeight="1">
      <x:c r="A359" s="5" t="str">
        <x:v>元宝</x:v>
      </x:c>
      <x:c r="B359" s="5" t="str">
        <x:v>Q1</x:v>
      </x:c>
      <x:c r="C359" s="5" t="str">
        <x:v>酵母蛋白</x:v>
      </x:c>
      <x:c r="D359" s="5" t="str">
        <x:v>http://xinshipin.sy.foodvip.net/home/index/xinshipincontent.html?itemid=1552</x:v>
      </x:c>
      <x:c r="E359" s="5" t="str">
        <x:v>xinshipin.sy.foodvip.net</x:v>
      </x:c>
      <x:c r="F359" s="5" t="str">
        <x:v>其他网页</x:v>
      </x:c>
      <x:c r="G359" s="5" t="str">
        <x:v>否</x:v>
      </x:c>
      <x:c r="H359" s="5" t="str"/>
      <x:c r="I359" s="5" t="str">
        <x:v>自然</x:v>
      </x:c>
      <x:c r="J359" s="5" t="str">
        <x:v>未核实</x:v>
      </x:c>
    </x:row>
    <x:row r="360" ht="27" customHeight="1">
      <x:c r="A360" s="5" t="str">
        <x:v>元宝</x:v>
      </x:c>
      <x:c r="B360" s="5" t="str">
        <x:v>Q1</x:v>
      </x:c>
      <x:c r="C360" s="5" t="str">
        <x:v>酵母的热量</x:v>
      </x:c>
      <x:c r="D360" s="5" t="str">
        <x:v>https://mingyi.sogou.com/afd/nutrition_only?params=%7B%22query%22%3A%20%22%E9%85%B5%E6%AF%8D%E7%9A%84%E7%83%AD%E9%87%8F%22%2C%20%22food%22%3A%20%22%E9%85%B5%E6%AF%8D%28%E5%B9%B2%29%22%2C%20%22nutrient%22%3A%20%22%E8%83%BD%E9%87%8F%22%2C%20%22forceQuery%22%3A%200%2C%20%22vrId%22%3A%2070239200%2C%20%22foodId%22%3A%20%222995%22%7D</x:v>
      </x:c>
      <x:c r="E360" s="5" t="str">
        <x:v>mingyi.sogou.com</x:v>
      </x:c>
      <x:c r="F360" s="5" t="str">
        <x:v>其他网页</x:v>
      </x:c>
      <x:c r="G360" s="5" t="str">
        <x:v>否</x:v>
      </x:c>
      <x:c r="H360" s="5" t="str"/>
      <x:c r="I360" s="5" t="str">
        <x:v>自然</x:v>
      </x:c>
      <x:c r="J360" s="5" t="str">
        <x:v>未核实</x:v>
      </x:c>
    </x:row>
    <x:row r="361" ht="27" customHeight="1">
      <x:c r="A361" s="5" t="str">
        <x:v>元宝</x:v>
      </x:c>
      <x:c r="B361" s="5" t="str">
        <x:v>Q1</x:v>
      </x:c>
      <x:c r="C361" s="5" t="str">
        <x:v>向微生物要蛋白,安琪酵母蛋白入列新食品原料目录</x:v>
      </x:c>
      <x:c r="D361" s="5" t="str">
        <x:v>http://gzw.yichang.gov.cn/content-40899-17085-1.html</x:v>
      </x:c>
      <x:c r="E361" s="5" t="str">
        <x:v>gzw.yichang.gov.cn</x:v>
      </x:c>
      <x:c r="F361" s="5" t="str">
        <x:v>官方机构</x:v>
      </x:c>
      <x:c r="G361" s="5" t="str">
        <x:v>否</x:v>
      </x:c>
      <x:c r="H361" s="5" t="str"/>
      <x:c r="I361" s="5" t="str">
        <x:v>自然</x:v>
      </x:c>
      <x:c r="J361" s="5" t="str">
        <x:v>未核实</x:v>
      </x:c>
    </x:row>
    <x:row r="362" ht="27" customHeight="1">
      <x:c r="A362" s="5" t="str">
        <x:v>元宝</x:v>
      </x:c>
      <x:c r="B362" s="5" t="str">
        <x:v>Q1</x:v>
      </x:c>
      <x:c r="C362" s="5" t="str">
        <x:v>酵母蛋白:被误解的低嘌呤优质蛋白,科学认知亟待普及</x:v>
      </x:c>
      <x:c r="D362" s="5" t="str">
        <x:v>https://cloud.kepuchina.cn/newSearch/imgText?id=7394027032366993408&amp;is_self=2</x:v>
      </x:c>
      <x:c r="E362" s="5" t="str">
        <x:v>cloud.kepuchina.cn</x:v>
      </x:c>
      <x:c r="F362" s="5" t="str">
        <x:v>其他网页</x:v>
      </x:c>
      <x:c r="G362" s="5" t="str">
        <x:v>否</x:v>
      </x:c>
      <x:c r="H362" s="5" t="str"/>
      <x:c r="I362" s="5" t="str">
        <x:v>自然</x:v>
      </x:c>
      <x:c r="J362" s="5" t="str">
        <x:v>未核实</x:v>
      </x:c>
    </x:row>
    <x:row r="363" ht="27" customHeight="1">
      <x:c r="A363" s="5" t="str">
        <x:v>元宝</x:v>
      </x:c>
      <x:c r="B363" s="5" t="str">
        <x:v>Q1</x:v>
      </x:c>
      <x:c r="C363" s="5" t="str">
        <x:v>GB/T 29602-2026新标准发布!酵母蛋白固体饮料入列国标专属品类</x:v>
      </x:c>
      <x:c r="D363" s="5" t="str">
        <x:v>https://www.cfsn.cn/news/detail/2289/361243.html</x:v>
      </x:c>
      <x:c r="E363" s="5" t="str">
        <x:v>cfsn.cn</x:v>
      </x:c>
      <x:c r="F363" s="5" t="str">
        <x:v>其他网页</x:v>
      </x:c>
      <x:c r="G363" s="5" t="str">
        <x:v>否</x:v>
      </x:c>
      <x:c r="H363" s="5" t="str"/>
      <x:c r="I363" s="5" t="str">
        <x:v>自然</x:v>
      </x:c>
      <x:c r="J363" s="5" t="str">
        <x:v>未核实</x:v>
      </x:c>
    </x:row>
    <x:row r="364" ht="27" customHeight="1">
      <x:c r="A364" s="5" t="str">
        <x:v>元宝</x:v>
      </x:c>
      <x:c r="B364" s="5" t="str">
        <x:v>Q1</x:v>
      </x:c>
      <x:c r="C364" s="5" t="str">
        <x:v>科普:酵母抽提物是什么(最新10问)</x:v>
      </x:c>
      <x:c r="D364" s="5" t="str">
        <x:v>https://www.kepuchina.cn/article/articleinfo?business_type=100&amp;classify=0&amp;ar_id=374808</x:v>
      </x:c>
      <x:c r="E364" s="5" t="str">
        <x:v>kepuchina.cn</x:v>
      </x:c>
      <x:c r="F364" s="5" t="str">
        <x:v>其他网页</x:v>
      </x:c>
      <x:c r="G364" s="5" t="str">
        <x:v>否</x:v>
      </x:c>
      <x:c r="H364" s="5" t="str"/>
      <x:c r="I364" s="5" t="str">
        <x:v>自然</x:v>
      </x:c>
      <x:c r="J364" s="5" t="str">
        <x:v>未核实</x:v>
      </x:c>
    </x:row>
    <x:row r="365" ht="27" customHeight="1">
      <x:c r="A365" s="5" t="str">
        <x:v>元宝</x:v>
      </x:c>
      <x:c r="B365" s="5" t="str">
        <x:v>Q1</x:v>
      </x:c>
      <x:c r="C365" s="5" t="str">
        <x:v>一文看懂:关于酵母蛋白,你最想知道的7个问题,答案都在这里</x:v>
      </x:c>
      <x:c r="D365" s="5" t="str">
        <x:v>https://shipin.sdnews.com.cn/spts/202607/t20260730_4715629.htm</x:v>
      </x:c>
      <x:c r="E365" s="5" t="str">
        <x:v>shipin.sdnews.com.cn</x:v>
      </x:c>
      <x:c r="F365" s="5" t="str">
        <x:v>综合媒体/转载</x:v>
      </x:c>
      <x:c r="G365" s="5" t="str">
        <x:v>否</x:v>
      </x:c>
      <x:c r="H365" s="5" t="str"/>
      <x:c r="I365" s="5" t="str">
        <x:v>自然</x:v>
      </x:c>
      <x:c r="J365" s="5" t="str">
        <x:v>未核实</x:v>
      </x:c>
    </x:row>
    <x:row r="366" ht="27" customHeight="1">
      <x:c r="A366" s="5" t="str">
        <x:v>元宝</x:v>
      </x:c>
      <x:c r="B366" s="5" t="str">
        <x:v>Q3</x:v>
      </x:c>
      <x:c r="C366" s="5" t="str">
        <x:v>谁是健身圈公认的“平替之王”,凭实力吊打乳清蛋白?</x:v>
      </x:c>
      <x:c r="D366" s="5" t="str">
        <x:v>https://shipin.sdnews.com.cn/spts/202606/t20260617_4694225.htm</x:v>
      </x:c>
      <x:c r="E366" s="5" t="str">
        <x:v>shipin.sdnews.com.cn</x:v>
      </x:c>
      <x:c r="F366" s="5" t="str">
        <x:v>综合媒体/转载</x:v>
      </x:c>
      <x:c r="G366" s="5" t="str">
        <x:v>否</x:v>
      </x:c>
      <x:c r="H366" s="5" t="str"/>
      <x:c r="I366" s="5" t="str">
        <x:v>自然</x:v>
      </x:c>
      <x:c r="J366" s="5" t="str">
        <x:v>未核实</x:v>
      </x:c>
    </x:row>
    <x:row r="367" ht="27" customHeight="1">
      <x:c r="A367" s="5" t="str">
        <x:v>元宝</x:v>
      </x:c>
      <x:c r="B367" s="5" t="str">
        <x:v>Q3</x:v>
      </x:c>
      <x:c r="C367" s="5" t="str">
        <x:v>《酵母蛋白白皮书》发布:中国蛋白产业迎来“第三种力量”</x:v>
      </x:c>
      <x:c r="D367" s="5" t="str">
        <x:v>http://mp.weixin.qq.com/s?__biz=MjM5MzQxMzMwMg==&amp;mid=2655401213&amp;idx=1&amp;sn=f1a438b94a5ffcdb0dea9cdbe2db6b34&amp;chksm=bc9f5a38403f4425d72696faaadda8ed9fee6a18d0e06d816acc080e7e0c8f2355f11d54b6d1#rd</x:v>
      </x:c>
      <x:c r="E367" s="5" t="str">
        <x:v>mp.weixin.qq.com</x:v>
      </x:c>
      <x:c r="F367" s="5" t="str">
        <x:v>UGC/视频/公众号</x:v>
      </x:c>
      <x:c r="G367" s="5" t="str">
        <x:v>否</x:v>
      </x:c>
      <x:c r="H367" s="5" t="str"/>
      <x:c r="I367" s="5" t="str">
        <x:v>自然</x:v>
      </x:c>
      <x:c r="J367" s="5" t="str">
        <x:v>未核实</x:v>
      </x:c>
    </x:row>
    <x:row r="368" ht="27" customHeight="1">
      <x:c r="A368" s="5" t="str">
        <x:v>元宝</x:v>
      </x:c>
      <x:c r="B368" s="5" t="str">
        <x:v>Q3</x:v>
      </x:c>
      <x:c r="C368" s="5" t="str">
        <x:v>酵母蛋白:重新定义低嘌呤优质蛋白的健康价值</x:v>
      </x:c>
      <x:c r="D368" s="5" t="str">
        <x:v>https://www.toutiao.com/article/7584770330477199907/</x:v>
      </x:c>
      <x:c r="E368" s="5" t="str">
        <x:v>toutiao.com</x:v>
      </x:c>
      <x:c r="F368" s="5" t="str">
        <x:v>UGC/视频/公众号</x:v>
      </x:c>
      <x:c r="G368" s="5" t="str">
        <x:v>否</x:v>
      </x:c>
      <x:c r="H368" s="5" t="str"/>
      <x:c r="I368" s="5" t="str">
        <x:v>自然</x:v>
      </x:c>
      <x:c r="J368" s="5" t="str">
        <x:v>未核实</x:v>
      </x:c>
    </x:row>
    <x:row r="369" ht="27" customHeight="1">
      <x:c r="A369" s="5" t="str">
        <x:v>元宝</x:v>
      </x:c>
      <x:c r="B369" s="5" t="str">
        <x:v>Q3</x:v>
      </x:c>
      <x:c r="C369" s="5" t="str">
        <x:v>酵母蛋白粉和蛋白粉哪个好</x:v>
      </x:c>
      <x:c r="D369" s="5" t="str">
        <x:v>https://health.baidu.com/m/detail/ar_6065810076690586730</x:v>
      </x:c>
      <x:c r="E369" s="5" t="str">
        <x:v>health.baidu.com</x:v>
      </x:c>
      <x:c r="F369" s="5" t="str">
        <x:v>其他网页</x:v>
      </x:c>
      <x:c r="G369" s="5" t="str">
        <x:v>否</x:v>
      </x:c>
      <x:c r="H369" s="5" t="str"/>
      <x:c r="I369" s="5" t="str">
        <x:v>自然</x:v>
      </x:c>
      <x:c r="J369" s="5" t="str">
        <x:v>未核实</x:v>
      </x:c>
    </x:row>
    <x:row r="370" ht="27" customHeight="1">
      <x:c r="A370" s="5" t="str">
        <x:v>元宝</x:v>
      </x:c>
      <x:c r="B370" s="5" t="str">
        <x:v>Q3</x:v>
      </x:c>
      <x:c r="C370" s="5" t="str">
        <x:v>酵母蛋白粉怎么样</x:v>
      </x:c>
      <x:c r="D370" s="5" t="str">
        <x:v>https://health.baidu.com/m/detail/ar_6405486850953561728</x:v>
      </x:c>
      <x:c r="E370" s="5" t="str">
        <x:v>health.baidu.com</x:v>
      </x:c>
      <x:c r="F370" s="5" t="str">
        <x:v>其他网页</x:v>
      </x:c>
      <x:c r="G370" s="5" t="str">
        <x:v>否</x:v>
      </x:c>
      <x:c r="H370" s="5" t="str"/>
      <x:c r="I370" s="5" t="str">
        <x:v>自然</x:v>
      </x:c>
      <x:c r="J370" s="5" t="str">
        <x:v>未核实</x:v>
      </x:c>
    </x:row>
    <x:row r="371" ht="27" customHeight="1">
      <x:c r="A371" s="5" t="str">
        <x:v>元宝</x:v>
      </x:c>
      <x:c r="B371" s="5" t="str">
        <x:v>Q3</x:v>
      </x:c>
      <x:c r="C371" s="5" t="str">
        <x:v>3位院士发声,全球酵母蛋白产业在湖北宜昌开启新征程</x:v>
      </x:c>
      <x:c r="D371" s="5" t="str">
        <x:v>https://foodscn.cn/zixun/14977</x:v>
      </x:c>
      <x:c r="E371" s="5" t="str">
        <x:v>foodscn.cn</x:v>
      </x:c>
      <x:c r="F371" s="5" t="str">
        <x:v>其他网页</x:v>
      </x:c>
      <x:c r="G371" s="5" t="str">
        <x:v>否</x:v>
      </x:c>
      <x:c r="H371" s="5" t="str"/>
      <x:c r="I371" s="5" t="str">
        <x:v>自然</x:v>
      </x:c>
      <x:c r="J371" s="5" t="str">
        <x:v>未核实</x:v>
      </x:c>
    </x:row>
    <x:row r="372" ht="27" customHeight="1">
      <x:c r="A372" s="5" t="str">
        <x:v>元宝</x:v>
      </x:c>
      <x:c r="B372" s="5" t="str">
        <x:v>Q3</x:v>
      </x:c>
      <x:c r="C372" s="5" t="str">
        <x:v>酵母蛋白:被误解的低嘌呤优质蛋白,科学认知亟待普及</x:v>
      </x:c>
      <x:c r="D372" s="5" t="str">
        <x:v>https://cloud.kepuchina.cn/newSearch/imgText?id=7394027032366993408&amp;is_self=2</x:v>
      </x:c>
      <x:c r="E372" s="5" t="str">
        <x:v>cloud.kepuchina.cn</x:v>
      </x:c>
      <x:c r="F372" s="5" t="str">
        <x:v>其他网页</x:v>
      </x:c>
      <x:c r="G372" s="5" t="str">
        <x:v>否</x:v>
      </x:c>
      <x:c r="H372" s="5" t="str"/>
      <x:c r="I372" s="5" t="str">
        <x:v>自然</x:v>
      </x:c>
      <x:c r="J372" s="5" t="str">
        <x:v>未核实</x:v>
      </x:c>
    </x:row>
    <x:row r="373" ht="27" customHeight="1">
      <x:c r="A373" s="5" t="str">
        <x:v>元宝</x:v>
      </x:c>
      <x:c r="B373" s="5" t="str">
        <x:v>Q3</x:v>
      </x:c>
      <x:c r="C373" s="5" t="str">
        <x:v>多品牌蛋白粉每桶涨价近百元,乳清蛋白成本翻倍,消费者寻找平替</x:v>
      </x:c>
      <x:c r="D373" s="5" t="str">
        <x:v>http://mp.weixin.qq.com/s?__biz=MzU2MDQwOTc2Mw==&amp;mid=2247608982&amp;idx=1&amp;sn=1e0ed0920c4199eb4c59d6466550a998&amp;chksm=fddb5911686bbe0a7a108156c94fb4abb7a148135aa81c462711ecd70195ea46cdc5f4839bed#rd</x:v>
      </x:c>
      <x:c r="E373" s="5" t="str">
        <x:v>mp.weixin.qq.com</x:v>
      </x:c>
      <x:c r="F373" s="5" t="str">
        <x:v>UGC/视频/公众号</x:v>
      </x:c>
      <x:c r="G373" s="5" t="str">
        <x:v>否</x:v>
      </x:c>
      <x:c r="H373" s="5" t="str"/>
      <x:c r="I373" s="5" t="str">
        <x:v>自然</x:v>
      </x:c>
      <x:c r="J373" s="5" t="str">
        <x:v>未核实</x:v>
      </x:c>
    </x:row>
    <x:row r="374" ht="27" customHeight="1">
      <x:c r="A374" s="5" t="str">
        <x:v>元宝</x:v>
      </x:c>
      <x:c r="B374" s="5" t="str">
        <x:v>Q3</x:v>
      </x:c>
      <x:c r="C374" s="5" t="str">
        <x:v>酵母蛋白:低嘌呤优质蛋白的科学解析与健康启示</x:v>
      </x:c>
      <x:c r="D374" s="5" t="str">
        <x:v>http://mp.weixin.qq.com/s?__biz=Mzk0NzY0ODM4NA==&amp;mid=2247484198&amp;idx=1&amp;sn=d387d33854d84bfcf3f1665358cc05c7&amp;chksm=c21b9500e0ef49d3d02c3524ca18e25de640793ead4d828b817d5c875dfea36ffda4e2656a19#rd</x:v>
      </x:c>
      <x:c r="E374" s="5" t="str">
        <x:v>mp.weixin.qq.com</x:v>
      </x:c>
      <x:c r="F374" s="5" t="str">
        <x:v>UGC/视频/公众号</x:v>
      </x:c>
      <x:c r="G374" s="5" t="str">
        <x:v>否</x:v>
      </x:c>
      <x:c r="H374" s="5" t="str"/>
      <x:c r="I374" s="5" t="str">
        <x:v>自然</x:v>
      </x:c>
      <x:c r="J374" s="5" t="str">
        <x:v>未核实</x:v>
      </x:c>
    </x:row>
    <x:row r="375" ht="27" customHeight="1">
      <x:c r="A375" s="5" t="str">
        <x:v>元宝</x:v>
      </x:c>
      <x:c r="B375" s="5" t="str">
        <x:v>Q3</x:v>
      </x:c>
      <x:c r="C375" s="5" t="str">
        <x:v>3位院士站台､6大品牌签约!第二届酵母蛋白国际研讨会释放重磅信号</x:v>
      </x:c>
      <x:c r="D375" s="5" t="str">
        <x:v>https://www.bjnews.com.cn/detail/1778124071129348.html</x:v>
      </x:c>
      <x:c r="E375" s="5" t="str">
        <x:v>bjnews.com.cn</x:v>
      </x:c>
      <x:c r="F375" s="5" t="str">
        <x:v>其他网页</x:v>
      </x:c>
      <x:c r="G375" s="5" t="str">
        <x:v>否</x:v>
      </x:c>
      <x:c r="H375" s="5" t="str"/>
      <x:c r="I375" s="5" t="str">
        <x:v>自然</x:v>
      </x:c>
      <x:c r="J375" s="5" t="str">
        <x:v>未核实</x:v>
      </x:c>
    </x:row>
    <x:row r="376" ht="27" customHeight="1">
      <x:c r="A376" s="5" t="str">
        <x:v>元宝</x:v>
      </x:c>
      <x:c r="B376" s="5" t="str">
        <x:v>Q3</x:v>
      </x:c>
      <x:c r="C376" s="5" t="str">
        <x:v>Yeast Protein</x:v>
      </x:c>
      <x:c r="D376" s="5" t="str">
        <x:v>https://asxan.ai/ingredients/yeast-protein</x:v>
      </x:c>
      <x:c r="E376" s="5" t="str">
        <x:v>asxan.ai</x:v>
      </x:c>
      <x:c r="F376" s="5" t="str">
        <x:v>其他网页</x:v>
      </x:c>
      <x:c r="G376" s="5" t="str">
        <x:v>否</x:v>
      </x:c>
      <x:c r="H376" s="5" t="str"/>
      <x:c r="I376" s="5" t="str">
        <x:v>自然</x:v>
      </x:c>
      <x:c r="J376" s="5" t="str">
        <x:v>未核实</x:v>
      </x:c>
    </x:row>
    <x:row r="377" ht="27" customHeight="1">
      <x:c r="A377" s="5" t="str">
        <x:v>元宝</x:v>
      </x:c>
      <x:c r="B377" s="5" t="str">
        <x:v>Q3</x:v>
      </x:c>
      <x:c r="C377" s="5" t="str">
        <x:v>认识酵母蛋白:第三类优质蛋白原料</x:v>
      </x:c>
      <x:c r="D377" s="5" t="str">
        <x:v>http://mp.weixin.qq.com/s?src=11&amp;timestamp=1790580021&amp;ver=6993&amp;signature=hO3ZDCqQ8457-uKyKVSGJyhdhCw3t89AVGsJGBLPm--fZOVM6BW0roGG*FrFzwlD2dAsXS2a0x6IKF3CY3eyaMB1PNJ4uR5S8FRBhxruQthhTTMWY0PzjoqA8IoamSFd&amp;new=1</x:v>
      </x:c>
      <x:c r="E377" s="5" t="str">
        <x:v>mp.weixin.qq.com</x:v>
      </x:c>
      <x:c r="F377" s="5" t="str">
        <x:v>UGC/视频/公众号</x:v>
      </x:c>
      <x:c r="G377" s="5" t="str">
        <x:v>否</x:v>
      </x:c>
      <x:c r="H377" s="5" t="str"/>
      <x:c r="I377" s="5" t="str">
        <x:v>自然</x:v>
      </x:c>
      <x:c r="J377" s="5" t="str">
        <x:v>未核实</x:v>
      </x:c>
    </x:row>
    <x:row r="378" ht="27" customHeight="1">
      <x:c r="A378" s="5" t="str">
        <x:v>元宝</x:v>
      </x:c>
      <x:c r="B378" s="5" t="str">
        <x:v>Q3</x:v>
      </x:c>
      <x:c r="C378" s="5" t="str">
        <x:v>乳清涨到700一桶,都在换200块的酵母蛋白?先把这3个争议和4个坑说清楚</x:v>
      </x:c>
      <x:c r="D378" s="5" t="str">
        <x:v>https://post.smzdm.com/p/aqr0zp9v</x:v>
      </x:c>
      <x:c r="E378" s="5" t="str">
        <x:v>post.smzdm.com</x:v>
      </x:c>
      <x:c r="F378" s="5" t="str">
        <x:v>UGC/视频/公众号</x:v>
      </x:c>
      <x:c r="G378" s="5" t="str">
        <x:v>否</x:v>
      </x:c>
      <x:c r="H378" s="5" t="str"/>
      <x:c r="I378" s="5" t="str">
        <x:v>自然</x:v>
      </x:c>
      <x:c r="J378" s="5" t="str">
        <x:v>未核实</x:v>
      </x:c>
    </x:row>
    <x:row r="379" ht="27" customHeight="1">
      <x:c r="A379" s="5" t="str">
        <x:v>元宝</x:v>
      </x:c>
      <x:c r="B379" s="5" t="str">
        <x:v>Q3</x:v>
      </x:c>
      <x:c r="C379" s="5" t="str">
        <x:v>我国酵母蛋白产业步入深度“发酵”期 第二届酵母蛋白科学技术国际研讨会湖北宜昌召开</x:v>
      </x:c>
      <x:c r="D379" s="5" t="str">
        <x:v>https://www.foodscn.cn/jujiao/14981</x:v>
      </x:c>
      <x:c r="E379" s="5" t="str">
        <x:v>foodscn.cn</x:v>
      </x:c>
      <x:c r="F379" s="5" t="str">
        <x:v>其他网页</x:v>
      </x:c>
      <x:c r="G379" s="5" t="str">
        <x:v>否</x:v>
      </x:c>
      <x:c r="H379" s="5" t="str"/>
      <x:c r="I379" s="5" t="str">
        <x:v>自然</x:v>
      </x:c>
      <x:c r="J379" s="5" t="str">
        <x:v>未核实</x:v>
      </x:c>
    </x:row>
    <x:row r="380" ht="27" customHeight="1">
      <x:c r="A380" s="5" t="str">
        <x:v>元宝</x:v>
      </x:c>
      <x:c r="B380" s="5" t="str">
        <x:v>Q3</x:v>
      </x:c>
      <x:c r="C380" s="5" t="str">
        <x:v>一文读懂酵母蛋白7大核心问答:非转基因､低嘌呤､PDCAAS1.0,优质完全蛋白全解析</x:v>
      </x:c>
      <x:c r="D380" s="5" t="str">
        <x:v>https://www.angelyeast.com/info/1755.html</x:v>
      </x:c>
      <x:c r="E380" s="5" t="str">
        <x:v>angelyeast.com</x:v>
      </x:c>
      <x:c r="F380" s="5" t="str">
        <x:v>企业官网</x:v>
      </x:c>
      <x:c r="G380" s="5" t="str">
        <x:v>否</x:v>
      </x:c>
      <x:c r="H380" s="5" t="str"/>
      <x:c r="I380" s="5" t="str">
        <x:v>自然</x:v>
      </x:c>
      <x:c r="J380" s="5" t="str">
        <x:v>2026-07-24（页面）</x:v>
      </x:c>
    </x:row>
    <x:row r="381" ht="27" customHeight="1">
      <x:c r="A381" s="5" t="str">
        <x:v>元宝</x:v>
      </x:c>
      <x:c r="B381" s="5" t="str">
        <x:v>Q3</x:v>
      </x:c>
      <x:c r="C381" s="5" t="str">
        <x:v>比牛肉贵的乳清蛋白,有什么可以替代</x:v>
      </x:c>
      <x:c r="D381" s="5" t="str">
        <x:v>http://mp.weixin.qq.com/s?src=11&amp;timestamp=1790580021&amp;ver=6993&amp;signature=F8hpinRCDQVFEDb8E6-yC0qks5b4BLDi0vmdWsWbCGLTP9-VcdxkjuLI*gjQxY2anVDkFaDZGuSawO6IesR24P5xu3IyXKQPnmV-mld0zu*-hXUhpE9vQkW3q0b5AwB*&amp;new=1</x:v>
      </x:c>
      <x:c r="E381" s="5" t="str">
        <x:v>mp.weixin.qq.com</x:v>
      </x:c>
      <x:c r="F381" s="5" t="str">
        <x:v>UGC/视频/公众号</x:v>
      </x:c>
      <x:c r="G381" s="5" t="str">
        <x:v>否</x:v>
      </x:c>
      <x:c r="H381" s="5" t="str"/>
      <x:c r="I381" s="5" t="str">
        <x:v>自然</x:v>
      </x:c>
      <x:c r="J381" s="5" t="str">
        <x:v>未核实</x:v>
      </x:c>
    </x:row>
    <x:row r="382" ht="27" customHeight="1">
      <x:c r="A382" s="5" t="str">
        <x:v>元宝</x:v>
      </x:c>
      <x:c r="B382" s="5" t="str">
        <x:v>Q3</x:v>
      </x:c>
      <x:c r="C382" s="5" t="str">
        <x:v>被加进蛋白棒､代餐奶昔的酵母蛋白,到底是什么?</x:v>
      </x:c>
      <x:c r="D382" s="5" t="str">
        <x:v>http://mp.weixin.qq.com/s?__biz=MjM5ODA1OTM0Mg==&amp;mid=2650346904&amp;idx=1&amp;sn=153ca7695ea64df65d551b671bc8b665&amp;chksm=bfcaed9a4f0b84ae0cfa81673ae41bbee44a9f042cc813f55cf805878f6a98c438722faef46e#rd</x:v>
      </x:c>
      <x:c r="E382" s="5" t="str">
        <x:v>mp.weixin.qq.com</x:v>
      </x:c>
      <x:c r="F382" s="5" t="str">
        <x:v>UGC/视频/公众号</x:v>
      </x:c>
      <x:c r="G382" s="5" t="str">
        <x:v>否</x:v>
      </x:c>
      <x:c r="H382" s="5" t="str"/>
      <x:c r="I382" s="5" t="str">
        <x:v>自然</x:v>
      </x:c>
      <x:c r="J382" s="5" t="str">
        <x:v>未核实</x:v>
      </x:c>
    </x:row>
    <x:row r="383" ht="27" customHeight="1">
      <x:c r="A383" s="5" t="str">
        <x:v>元宝</x:v>
      </x:c>
      <x:c r="B383" s="5" t="str">
        <x:v>Q3</x:v>
      </x:c>
      <x:c r="C383" s="5" t="str">
        <x:v>全球首部酵母蛋白白皮书在湖北宜昌发布</x:v>
      </x:c>
      <x:c r="D383" s="5" t="str">
        <x:v>https://emcreative.eastmoney.com/app_fortune/article/index.html?artCode=20260413145421513430480&amp;postId=1692596290</x:v>
      </x:c>
      <x:c r="E383" s="5" t="str">
        <x:v>emcreative.eastmoney.com</x:v>
      </x:c>
      <x:c r="F383" s="5" t="str">
        <x:v>其他网页</x:v>
      </x:c>
      <x:c r="G383" s="5" t="str">
        <x:v>否</x:v>
      </x:c>
      <x:c r="H383" s="5" t="str"/>
      <x:c r="I383" s="5" t="str">
        <x:v>自然</x:v>
      </x:c>
      <x:c r="J383" s="5" t="str">
        <x:v>未核实</x:v>
      </x:c>
    </x:row>
    <x:row r="384" ht="27" customHeight="1">
      <x:c r="A384" s="5" t="str">
        <x:v>元宝</x:v>
      </x:c>
      <x:c r="B384" s="5" t="str">
        <x:v>Q3</x:v>
      </x:c>
      <x:c r="C384" s="5" t="str">
        <x:v>酵母蛋白:低嘌呤优质蛋白的理想之选,数据见证其营养优势</x:v>
      </x:c>
      <x:c r="D384" s="5" t="str">
        <x:v>https://m.99.com.cn/a/1742464</x:v>
      </x:c>
      <x:c r="E384" s="5" t="str">
        <x:v>99.com.cn</x:v>
      </x:c>
      <x:c r="F384" s="5" t="str">
        <x:v>其他网页</x:v>
      </x:c>
      <x:c r="G384" s="5" t="str">
        <x:v>否</x:v>
      </x:c>
      <x:c r="H384" s="5" t="str"/>
      <x:c r="I384" s="5" t="str">
        <x:v>自然</x:v>
      </x:c>
      <x:c r="J384" s="5" t="str">
        <x:v>未核实</x:v>
      </x:c>
    </x:row>
    <x:row r="385" ht="27" customHeight="1">
      <x:c r="A385" s="5" t="str">
        <x:v>元宝</x:v>
      </x:c>
      <x:c r="B385" s="5" t="str">
        <x:v>Q4</x:v>
      </x:c>
      <x:c r="C385" s="5" t="str">
        <x:v>乳糖不耐受者的破局之选:概特酵母蛋白粉开启运动补剂新篇章</x:v>
      </x:c>
      <x:c r="D385" s="5" t="str">
        <x:v>https://life.china.com/2026-06/05/content_586657.html</x:v>
      </x:c>
      <x:c r="E385" s="5" t="str">
        <x:v>life.china.com</x:v>
      </x:c>
      <x:c r="F385" s="5" t="str">
        <x:v>综合媒体/转载</x:v>
      </x:c>
      <x:c r="G385" s="5" t="str">
        <x:v>否</x:v>
      </x:c>
      <x:c r="H385" s="5" t="str">
        <x:v>Keep、6星、安琪纽特、赛霸/小赛同学、概特/盖特、米当卡、ALLKEEP、南巨、英之素、三角喵、马泰时刻、ffit8</x:v>
      </x:c>
      <x:c r="I385" s="5" t="str">
        <x:v>自然</x:v>
      </x:c>
      <x:c r="J385" s="5" t="str">
        <x:v>未核实</x:v>
      </x:c>
    </x:row>
    <x:row r="386" ht="27" customHeight="1">
      <x:c r="A386" s="5" t="str">
        <x:v>元宝</x:v>
      </x:c>
      <x:c r="B386" s="5" t="str">
        <x:v>Q4</x:v>
      </x:c>
      <x:c r="C386" s="5" t="str">
        <x:v>Angel yeast-global yeast and yeast extract manufacturer and supplier</x:v>
      </x:c>
      <x:c r="D386" s="5" t="str">
        <x:v>https://en.angelyeast.com?dddd/</x:v>
      </x:c>
      <x:c r="E386" s="5" t="str">
        <x:v>en.angelyeast.com</x:v>
      </x:c>
      <x:c r="F386" s="5" t="str">
        <x:v>企业官网</x:v>
      </x:c>
      <x:c r="G386" s="5" t="str">
        <x:v>否</x:v>
      </x:c>
      <x:c r="H386" s="5" t="str">
        <x:v>Keep、6星、安琪纽特、赛霸/小赛同学、概特/盖特、米当卡、ALLKEEP、南巨、英之素、三角喵、马泰时刻、ffit8</x:v>
      </x:c>
      <x:c r="I386" s="5" t="str">
        <x:v>自然</x:v>
      </x:c>
      <x:c r="J386" s="5" t="str">
        <x:v>未核实</x:v>
      </x:c>
    </x:row>
    <x:row r="387" ht="27" customHeight="1">
      <x:c r="A387" s="5" t="str">
        <x:v>元宝</x:v>
      </x:c>
      <x:c r="B387" s="5" t="str">
        <x:v>Q4</x:v>
      </x:c>
      <x:c r="C387" s="5" t="str">
        <x:v>认识酵母蛋白:第三类优质蛋白原料</x:v>
      </x:c>
      <x:c r="D387" s="5" t="str">
        <x:v>http://mp.weixin.qq.com/s?__biz=MzcwMTQzOTIzNA==&amp;mid=2247483766&amp;idx=1&amp;sn=cd70d26d1082fa57ffacd2ee6bbbe114&amp;chksm=f56a1349823a43f728bca76ea63219e023a77da9671a1a2e547a0a61adf18084bcff95ea3ac9#rd</x:v>
      </x:c>
      <x:c r="E387" s="5" t="str">
        <x:v>mp.weixin.qq.com</x:v>
      </x:c>
      <x:c r="F387" s="5" t="str">
        <x:v>UGC/视频/公众号</x:v>
      </x:c>
      <x:c r="G387" s="5" t="str">
        <x:v>否</x:v>
      </x:c>
      <x:c r="H387" s="5" t="str">
        <x:v>Keep、6星、安琪纽特、赛霸/小赛同学、概特/盖特、米当卡、ALLKEEP、南巨、英之素、三角喵、马泰时刻、ffit8</x:v>
      </x:c>
      <x:c r="I387" s="5" t="str">
        <x:v>自然</x:v>
      </x:c>
      <x:c r="J387" s="5" t="str">
        <x:v>未核实</x:v>
      </x:c>
    </x:row>
    <x:row r="388" ht="27" customHeight="1">
      <x:c r="A388" s="5" t="str">
        <x:v>元宝</x:v>
      </x:c>
      <x:c r="B388" s="5" t="str">
        <x:v>Q4</x:v>
      </x:c>
      <x:c r="C388" s="5" t="str">
        <x:v>乳清涨疯了,全网都在换160元5磅的酵母蛋白粉?我翻了四个平台的评论区:有人能换,有人真别碰</x:v>
      </x:c>
      <x:c r="D388" s="5" t="str">
        <x:v>https://post.smzdm.com/p/awwrqm52</x:v>
      </x:c>
      <x:c r="E388" s="5" t="str">
        <x:v>post.smzdm.com</x:v>
      </x:c>
      <x:c r="F388" s="5" t="str">
        <x:v>UGC/视频/公众号</x:v>
      </x:c>
      <x:c r="G388" s="5" t="str">
        <x:v>否</x:v>
      </x:c>
      <x:c r="H388" s="5" t="str">
        <x:v>Keep、6星、安琪纽特、赛霸/小赛同学、概特/盖特、米当卡、ALLKEEP、南巨、英之素、三角喵、马泰时刻、ffit8</x:v>
      </x:c>
      <x:c r="I388" s="5" t="str">
        <x:v>自然</x:v>
      </x:c>
      <x:c r="J388" s="5" t="str">
        <x:v>未核实</x:v>
      </x:c>
    </x:row>
    <x:row r="389" ht="27" customHeight="1">
      <x:c r="A389" s="5" t="str">
        <x:v>元宝</x:v>
      </x:c>
      <x:c r="B389" s="5" t="str">
        <x:v>Q4</x:v>
      </x:c>
      <x:c r="C389" s="5" t="str">
        <x:v>2026年全球酵母蛋白销售额约30亿元 应用场景从"小众"走向"大众"[图]</x:v>
      </x:c>
      <x:c r="D389" s="5" t="str">
        <x:v>https://www.gonyn.com/industry/1944157.html</x:v>
      </x:c>
      <x:c r="E389" s="5" t="str">
        <x:v>gonyn.com</x:v>
      </x:c>
      <x:c r="F389" s="5" t="str">
        <x:v>其他网页</x:v>
      </x:c>
      <x:c r="G389" s="5" t="str">
        <x:v>否</x:v>
      </x:c>
      <x:c r="H389" s="5" t="str">
        <x:v>Keep、6星、安琪纽特、赛霸/小赛同学、概特/盖特、米当卡、ALLKEEP、南巨、英之素、三角喵、马泰时刻、ffit8</x:v>
      </x:c>
      <x:c r="I389" s="5" t="str">
        <x:v>自然</x:v>
      </x:c>
      <x:c r="J389" s="5" t="str">
        <x:v>未核实</x:v>
      </x:c>
    </x:row>
    <x:row r="390" ht="27" customHeight="1">
      <x:c r="A390" s="5" t="str">
        <x:v>元宝</x:v>
      </x:c>
      <x:c r="B390" s="5" t="str">
        <x:v>Q4</x:v>
      </x:c>
      <x:c r="C390" s="5" t="str">
        <x:v>被加进蛋白棒､代餐奶昔的酵母蛋白,到底是什么?</x:v>
      </x:c>
      <x:c r="D390" s="5" t="str">
        <x:v>http://mp.weixin.qq.com/s?__biz=MjM5ODA1OTM0Mg==&amp;mid=2650346904&amp;idx=1&amp;sn=153ca7695ea64df65d551b671bc8b665&amp;chksm=bfcaed9a4f0b84ae0cfa81673ae41bbee44a9f042cc813f55cf805878f6a98c438722faef46e#rd</x:v>
      </x:c>
      <x:c r="E390" s="5" t="str">
        <x:v>mp.weixin.qq.com</x:v>
      </x:c>
      <x:c r="F390" s="5" t="str">
        <x:v>UGC/视频/公众号</x:v>
      </x:c>
      <x:c r="G390" s="5" t="str">
        <x:v>否</x:v>
      </x:c>
      <x:c r="H390" s="5" t="str">
        <x:v>Keep、6星、安琪纽特、赛霸/小赛同学、概特/盖特、米当卡、ALLKEEP、南巨、英之素、三角喵、马泰时刻、ffit8</x:v>
      </x:c>
      <x:c r="I390" s="5" t="str">
        <x:v>自然</x:v>
      </x:c>
      <x:c r="J390" s="5" t="str">
        <x:v>未核实</x:v>
      </x:c>
    </x:row>
    <x:row r="391" ht="27" customHeight="1">
      <x:c r="A391" s="5" t="str">
        <x:v>元宝</x:v>
      </x:c>
      <x:c r="B391" s="5" t="str">
        <x:v>Q4</x:v>
      </x:c>
      <x:c r="C391" s="5" t="str">
        <x:v>ybyh</x:v>
      </x:c>
      <x:c r="D391" s="5" t="str">
        <x:v>https://xueqiu.com/n/ybyh</x:v>
      </x:c>
      <x:c r="E391" s="5" t="str">
        <x:v>xueqiu.com</x:v>
      </x:c>
      <x:c r="F391" s="5" t="str">
        <x:v>其他网页</x:v>
      </x:c>
      <x:c r="G391" s="5" t="str">
        <x:v>否</x:v>
      </x:c>
      <x:c r="H391" s="5" t="str">
        <x:v>Keep、6星、安琪纽特、赛霸/小赛同学、概特/盖特、米当卡、ALLKEEP、南巨、英之素、三角喵、马泰时刻、ffit8</x:v>
      </x:c>
      <x:c r="I391" s="5" t="str">
        <x:v>自然</x:v>
      </x:c>
      <x:c r="J391" s="5" t="str">
        <x:v>未核实</x:v>
      </x:c>
    </x:row>
    <x:row r="392" ht="27" customHeight="1">
      <x:c r="A392" s="5" t="str">
        <x:v>元宝</x:v>
      </x:c>
      <x:c r="B392" s="5" t="str">
        <x:v>Q4</x:v>
      </x:c>
      <x:c r="C392" s="5" t="str">
        <x:v>酵母蛋白品牌排名</x:v>
      </x:c>
      <x:c r="D392" s="5" t="str">
        <x:v>https://aiqicha.baidu.com/details/ugknowledge?id=f9c43aec6f33da23330a59103232b677</x:v>
      </x:c>
      <x:c r="E392" s="5" t="str">
        <x:v>aiqicha.baidu.com</x:v>
      </x:c>
      <x:c r="F392" s="5" t="str">
        <x:v>其他网页</x:v>
      </x:c>
      <x:c r="G392" s="5" t="str">
        <x:v>否</x:v>
      </x:c>
      <x:c r="H392" s="5" t="str">
        <x:v>Keep、6星、安琪纽特、赛霸/小赛同学、概特/盖特、米当卡、ALLKEEP、南巨、英之素、三角喵、马泰时刻、ffit8</x:v>
      </x:c>
      <x:c r="I392" s="5" t="str">
        <x:v>自然</x:v>
      </x:c>
      <x:c r="J392" s="5" t="str">
        <x:v>未核实</x:v>
      </x:c>
    </x:row>
    <x:row r="393" ht="27" customHeight="1">
      <x:c r="A393" s="5" t="str">
        <x:v>元宝</x:v>
      </x:c>
      <x:c r="B393" s="5" t="str">
        <x:v>Q4</x:v>
      </x:c>
      <x:c r="C393" s="5" t="str">
        <x:v>新国标首次列出､拟再投7.97亿元,酵母蛋白离大众市场还有多远?</x:v>
      </x:c>
      <x:c r="D393" s="5" t="str">
        <x:v>http://mp.weixin.qq.com/s?__biz=Mzk2NDM4OTQ1NA==&amp;mid=2247500568&amp;idx=1&amp;sn=c2af88c3ba3659a3ff49b1470b8b8f7a&amp;chksm=c5c5f35f90c48400241df2fb87a0b6f2fd358cfb76e2f997da139ed6c9ab0190f3b8c7cb869c#rd</x:v>
      </x:c>
      <x:c r="E393" s="5" t="str">
        <x:v>mp.weixin.qq.com</x:v>
      </x:c>
      <x:c r="F393" s="5" t="str">
        <x:v>UGC/视频/公众号</x:v>
      </x:c>
      <x:c r="G393" s="5" t="str">
        <x:v>否</x:v>
      </x:c>
      <x:c r="H393" s="5" t="str">
        <x:v>Keep、6星、安琪纽特、赛霸/小赛同学、概特/盖特、米当卡、ALLKEEP、南巨、英之素、三角喵、马泰时刻、ffit8</x:v>
      </x:c>
      <x:c r="I393" s="5" t="str">
        <x:v>自然</x:v>
      </x:c>
      <x:c r="J393" s="5" t="str">
        <x:v>未核实</x:v>
      </x:c>
    </x:row>
    <x:row r="394" ht="27" customHeight="1">
      <x:c r="A394" s="5" t="str">
        <x:v>元宝</x:v>
      </x:c>
      <x:c r="B394" s="5" t="str">
        <x:v>Q4</x:v>
      </x:c>
      <x:c r="C394" s="5" t="str">
        <x:v>酵母蛋白什么牌子好</x:v>
      </x:c>
      <x:c r="D394" s="5" t="str">
        <x:v>https://aiqicha.baidu.com/details/ugknowledge?id=81b9820e3417f5a61ca2fec04225ec6e</x:v>
      </x:c>
      <x:c r="E394" s="5" t="str">
        <x:v>aiqicha.baidu.com</x:v>
      </x:c>
      <x:c r="F394" s="5" t="str">
        <x:v>其他网页</x:v>
      </x:c>
      <x:c r="G394" s="5" t="str">
        <x:v>否</x:v>
      </x:c>
      <x:c r="H394" s="5" t="str">
        <x:v>Keep、6星、安琪纽特、赛霸/小赛同学、概特/盖特、米当卡、ALLKEEP、南巨、英之素、三角喵、马泰时刻、ffit8</x:v>
      </x:c>
      <x:c r="I394" s="5" t="str">
        <x:v>自然</x:v>
      </x:c>
      <x:c r="J394" s="5" t="str">
        <x:v>未核实</x:v>
      </x:c>
    </x:row>
    <x:row r="395" ht="27" customHeight="1">
      <x:c r="A395" s="5" t="str">
        <x:v>元宝</x:v>
      </x:c>
      <x:c r="B395" s="5" t="str">
        <x:v>Q4</x:v>
      </x:c>
      <x:c r="C395" s="5" t="str">
        <x:v>Fermented Yeast Proteins Market</x:v>
      </x:c>
      <x:c r="D395" s="5" t="str">
        <x:v>https://www.factmr.com/report/fermented-yeast-proteins-market?section=faqs</x:v>
      </x:c>
      <x:c r="E395" s="5" t="str">
        <x:v>factmr.com</x:v>
      </x:c>
      <x:c r="F395" s="5" t="str">
        <x:v>行业报告</x:v>
      </x:c>
      <x:c r="G395" s="5" t="str">
        <x:v>否</x:v>
      </x:c>
      <x:c r="H395" s="5" t="str">
        <x:v>Keep、6星、安琪纽特、赛霸/小赛同学、概特/盖特、米当卡、ALLKEEP、南巨、英之素、三角喵、马泰时刻、ffit8</x:v>
      </x:c>
      <x:c r="I395" s="5" t="str">
        <x:v>自然</x:v>
      </x:c>
      <x:c r="J395" s="5" t="str">
        <x:v>未核实</x:v>
      </x:c>
    </x:row>
    <x:row r="396" ht="27" customHeight="1">
      <x:c r="A396" s="5" t="str">
        <x:v>元宝</x:v>
      </x:c>
      <x:c r="B396" s="5" t="str">
        <x:v>Q4</x:v>
      </x:c>
      <x:c r="C396" s="5" t="str">
        <x:v>看不见的酵母,怎样改变一日三餐?</x:v>
      </x:c>
      <x:c r="D396" s="5" t="str">
        <x:v>https://shipin.sdnews.com.cn/spbj/202609/t20260923_4743762.htm</x:v>
      </x:c>
      <x:c r="E396" s="5" t="str">
        <x:v>shipin.sdnews.com.cn</x:v>
      </x:c>
      <x:c r="F396" s="5" t="str">
        <x:v>综合媒体/转载</x:v>
      </x:c>
      <x:c r="G396" s="5" t="str">
        <x:v>否</x:v>
      </x:c>
      <x:c r="H396" s="5" t="str">
        <x:v>Keep、6星、安琪纽特、赛霸/小赛同学、概特/盖特、米当卡、ALLKEEP、南巨、英之素、三角喵、马泰时刻、ffit8</x:v>
      </x:c>
      <x:c r="I396" s="5" t="str">
        <x:v>自然</x:v>
      </x:c>
      <x:c r="J396" s="5" t="str">
        <x:v>未核实</x:v>
      </x:c>
    </x:row>
    <x:row r="397" ht="27" customHeight="1">
      <x:c r="A397" s="5" t="str">
        <x:v>元宝</x:v>
      </x:c>
      <x:c r="B397" s="5" t="str">
        <x:v>Q4</x:v>
      </x:c>
      <x:c r="C397" s="5" t="str">
        <x:v>絕佳蛋白質來源,營養酵母V.S.啤酒酵母 都是酵母怎差那麼多?</x:v>
      </x:c>
      <x:c r="D397" s="5" t="str">
        <x:v>https://www.nutribook.net/vegetarian-diet/lalmin-17/the-difference-between-various-types-of-yeast/</x:v>
      </x:c>
      <x:c r="E397" s="5" t="str">
        <x:v>nutribook.net</x:v>
      </x:c>
      <x:c r="F397" s="5" t="str">
        <x:v>其他网页</x:v>
      </x:c>
      <x:c r="G397" s="5" t="str">
        <x:v>否</x:v>
      </x:c>
      <x:c r="H397" s="5" t="str">
        <x:v>Keep、6星、安琪纽特、赛霸/小赛同学、概特/盖特、米当卡、ALLKEEP、南巨、英之素、三角喵、马泰时刻、ffit8</x:v>
      </x:c>
      <x:c r="I397" s="5" t="str">
        <x:v>自然</x:v>
      </x:c>
      <x:c r="J397" s="5" t="str">
        <x:v>未核实</x:v>
      </x:c>
    </x:row>
    <x:row r="398" ht="27" customHeight="1">
      <x:c r="A398" s="5" t="str">
        <x:v>元宝</x:v>
      </x:c>
      <x:c r="B398" s="5" t="str">
        <x:v>Q4</x:v>
      </x:c>
      <x:c r="C398" s="5" t="str">
        <x:v>现吻MuaNow原味酵母蛋白粉国风新品正式发布</x:v>
      </x:c>
      <x:c r="D398" s="5" t="str">
        <x:v>http://mp.weixin.qq.com/s?src=11&amp;timestamp=1790580160&amp;ver=6993&amp;signature=I*McHRbuIBGiAqIh8ssGlMRTMLvif86LdBlkA*eOS2kSkHQkiHLQk9U04SdhchjJBpojioDknui92Yn7xGe82BldX3HTbFOiega8Lkp5OtHJWFGuZDJ-OBMuIsySVtps&amp;new=1</x:v>
      </x:c>
      <x:c r="E398" s="5" t="str">
        <x:v>mp.weixin.qq.com</x:v>
      </x:c>
      <x:c r="F398" s="5" t="str">
        <x:v>UGC/视频/公众号</x:v>
      </x:c>
      <x:c r="G398" s="5" t="str">
        <x:v>否</x:v>
      </x:c>
      <x:c r="H398" s="5" t="str">
        <x:v>Keep、6星、安琪纽特、赛霸/小赛同学、概特/盖特、米当卡、ALLKEEP、南巨、英之素、三角喵、马泰时刻、ffit8</x:v>
      </x:c>
      <x:c r="I398" s="5" t="str">
        <x:v>自然</x:v>
      </x:c>
      <x:c r="J398" s="5" t="str">
        <x:v>未核实</x:v>
      </x:c>
    </x:row>
    <x:row r="399" ht="27" customHeight="1">
      <x:c r="A399" s="5" t="str">
        <x:v>元宝</x:v>
      </x:c>
      <x:c r="B399" s="5" t="str">
        <x:v>Q4</x:v>
      </x:c>
      <x:c r="C399" s="5" t="str">
        <x:v>Yeast Protein Market Report 2025-2034</x:v>
      </x:c>
      <x:c r="D399" s="5" t="str">
        <x:v>https://growthmarketreports.com/report/yeast-protein-market</x:v>
      </x:c>
      <x:c r="E399" s="5" t="str">
        <x:v>growthmarketreports.com</x:v>
      </x:c>
      <x:c r="F399" s="5" t="str">
        <x:v>行业报告</x:v>
      </x:c>
      <x:c r="G399" s="5" t="str">
        <x:v>否</x:v>
      </x:c>
      <x:c r="H399" s="5" t="str">
        <x:v>Keep、6星、安琪纽特、赛霸/小赛同学、概特/盖特、米当卡、ALLKEEP、南巨、英之素、三角喵、马泰时刻、ffit8</x:v>
      </x:c>
      <x:c r="I399" s="5" t="str">
        <x:v>自然</x:v>
      </x:c>
      <x:c r="J399" s="5" t="str">
        <x:v>未核实</x:v>
      </x:c>
    </x:row>
    <x:row r="400" ht="27" customHeight="1">
      <x:c r="A400" s="5" t="str">
        <x:v>元宝</x:v>
      </x:c>
      <x:c r="B400" s="5" t="str">
        <x:v>Q4</x:v>
      </x:c>
      <x:c r="C400" s="5" t="str">
        <x:v>超越蛋白补充:酵母蛋白打开银发功能营养新格局</x:v>
      </x:c>
      <x:c r="D400" s="5" t="str">
        <x:v>https://shipin.sdnews.com.cn/sppp/202508/t20250822_4567749.htm</x:v>
      </x:c>
      <x:c r="E400" s="5" t="str">
        <x:v>shipin.sdnews.com.cn</x:v>
      </x:c>
      <x:c r="F400" s="5" t="str">
        <x:v>综合媒体/转载</x:v>
      </x:c>
      <x:c r="G400" s="5" t="str">
        <x:v>否</x:v>
      </x:c>
      <x:c r="H400" s="5" t="str">
        <x:v>Keep、6星、安琪纽特、赛霸/小赛同学、概特/盖特、米当卡、ALLKEEP、南巨、英之素、三角喵、马泰时刻、ffit8</x:v>
      </x:c>
      <x:c r="I400" s="5" t="str">
        <x:v>自然</x:v>
      </x:c>
      <x:c r="J400" s="5" t="str">
        <x:v>未核实</x:v>
      </x:c>
    </x:row>
    <x:row r="401" ht="27" customHeight="1">
      <x:c r="A401" s="5" t="str">
        <x:v>元宝</x:v>
      </x:c>
      <x:c r="B401" s="5" t="str">
        <x:v>Q4</x:v>
      </x:c>
      <x:c r="C401" s="5" t="str">
        <x:v>AnPro酵母蛋白——引航运动营养与可持续未来的技术革新</x:v>
      </x:c>
      <x:c r="D401" s="5" t="str">
        <x:v>https://shipin.sdnews.com.cn/sppp/202511/t20251118_4603949.htm</x:v>
      </x:c>
      <x:c r="E401" s="5" t="str">
        <x:v>shipin.sdnews.com.cn</x:v>
      </x:c>
      <x:c r="F401" s="5" t="str">
        <x:v>综合媒体/转载</x:v>
      </x:c>
      <x:c r="G401" s="5" t="str">
        <x:v>否</x:v>
      </x:c>
      <x:c r="H401" s="5" t="str">
        <x:v>Keep、6星、安琪纽特、赛霸/小赛同学、概特/盖特、米当卡、ALLKEEP、南巨、英之素、三角喵、马泰时刻、ffit8</x:v>
      </x:c>
      <x:c r="I401" s="5" t="str">
        <x:v>自然</x:v>
      </x:c>
      <x:c r="J401" s="5" t="str">
        <x:v>未核实</x:v>
      </x:c>
    </x:row>
    <x:row r="402" ht="27" customHeight="1">
      <x:c r="A402" s="5" t="str">
        <x:v>元宝</x:v>
      </x:c>
      <x:c r="B402" s="5" t="str">
        <x:v>Q5</x:v>
      </x:c>
      <x:c r="C402" s="5" t="str">
        <x:v>蛋白粉乳糖不耐受能喝吗</x:v>
      </x:c>
      <x:c r="D402" s="5" t="str">
        <x:v>https://health.baidu.com/m/detail/ar_6621868540449465876</x:v>
      </x:c>
      <x:c r="E402" s="5" t="str">
        <x:v>health.baidu.com</x:v>
      </x:c>
      <x:c r="F402" s="5" t="str">
        <x:v>其他网页</x:v>
      </x:c>
      <x:c r="G402" s="5" t="str">
        <x:v>否</x:v>
      </x:c>
      <x:c r="H402" s="5" t="str"/>
      <x:c r="I402" s="5" t="str">
        <x:v>自然</x:v>
      </x:c>
      <x:c r="J402" s="5" t="str">
        <x:v>未核实</x:v>
      </x:c>
    </x:row>
    <x:row r="403" ht="27" customHeight="1">
      <x:c r="A403" s="5" t="str">
        <x:v>元宝</x:v>
      </x:c>
      <x:c r="B403" s="5" t="str">
        <x:v>Q5</x:v>
      </x:c>
      <x:c r="C403" s="5" t="str">
        <x:v>Eating, Diet, &amp; Nutrition for Lactose Intolerance</x:v>
      </x:c>
      <x:c r="D403" s="5" t="str">
        <x:v>https://www.niddk.nih.gov/health-information/digestive-diseases/lactose-intolerance/eating-diet-nutrition</x:v>
      </x:c>
      <x:c r="E403" s="5" t="str">
        <x:v>niddk.nih.gov</x:v>
      </x:c>
      <x:c r="F403" s="5" t="str">
        <x:v>其他网页</x:v>
      </x:c>
      <x:c r="G403" s="5" t="str">
        <x:v>否</x:v>
      </x:c>
      <x:c r="H403" s="5" t="str"/>
      <x:c r="I403" s="5" t="str">
        <x:v>自然</x:v>
      </x:c>
      <x:c r="J403" s="5" t="str">
        <x:v>未核实</x:v>
      </x:c>
    </x:row>
    <x:row r="404" ht="27" customHeight="1">
      <x:c r="A404" s="5" t="str">
        <x:v>元宝</x:v>
      </x:c>
      <x:c r="B404" s="5" t="str">
        <x:v>Q5</x:v>
      </x:c>
      <x:c r="C404" s="5" t="str">
        <x:v>蛋白粉的“隐藏糖”:为什么你喝的蛋白粉会胀气?—— 浓缩乳清蛋白与酪蛋白的乳糖揭秘</x:v>
      </x:c>
      <x:c r="D404" s="5" t="str">
        <x:v>http://mp.weixin.qq.com/s?src=11&amp;timestamp=1790580327&amp;ver=6993&amp;signature=9PXO-wpaWN6NoqlhSF7Hdxveb3EgxKuG9GR0JKoKkIiqvszYEKUrkiOLOEFSqO8rEA6vk1WzwuXCUtUzre0eva1IcVQXppzB6TZ9dXkgRNCtEx*b5zkeOVHeVg3tfx-j&amp;new=1</x:v>
      </x:c>
      <x:c r="E404" s="5" t="str">
        <x:v>mp.weixin.qq.com</x:v>
      </x:c>
      <x:c r="F404" s="5" t="str">
        <x:v>UGC/视频/公众号</x:v>
      </x:c>
      <x:c r="G404" s="5" t="str">
        <x:v>否</x:v>
      </x:c>
      <x:c r="H404" s="5" t="str"/>
      <x:c r="I404" s="5" t="str">
        <x:v>自然</x:v>
      </x:c>
      <x:c r="J404" s="5" t="str">
        <x:v>未核实</x:v>
      </x:c>
    </x:row>
    <x:row r="405" ht="27" customHeight="1">
      <x:c r="A405" s="5" t="str">
        <x:v>元宝</x:v>
      </x:c>
      <x:c r="B405" s="5" t="str">
        <x:v>Q5</x:v>
      </x:c>
      <x:c r="C405" s="5" t="str">
        <x:v>蛋白粉有乳糖吗</x:v>
      </x:c>
      <x:c r="D405" s="5" t="str">
        <x:v>https://health.baidu.com/m/detail/ar_6671130681344933402</x:v>
      </x:c>
      <x:c r="E405" s="5" t="str">
        <x:v>health.baidu.com</x:v>
      </x:c>
      <x:c r="F405" s="5" t="str">
        <x:v>其他网页</x:v>
      </x:c>
      <x:c r="G405" s="5" t="str">
        <x:v>否</x:v>
      </x:c>
      <x:c r="H405" s="5" t="str"/>
      <x:c r="I405" s="5" t="str">
        <x:v>自然</x:v>
      </x:c>
      <x:c r="J405" s="5" t="str">
        <x:v>未核实</x:v>
      </x:c>
    </x:row>
    <x:row r="406" ht="27" customHeight="1">
      <x:c r="A406" s="5" t="str">
        <x:v>元宝</x:v>
      </x:c>
      <x:c r="B406" s="5" t="str">
        <x:v>Q5</x:v>
      </x:c>
      <x:c r="C406" s="5" t="str">
        <x:v>Digestion and Absorption</x:v>
      </x:c>
      <x:c r="D406" s="5" t="str">
        <x:v>http://samples.jbpub.com/9781284021165/9781449649241_CH03_Insel_4886_1.pdf</x:v>
      </x:c>
      <x:c r="E406" s="5" t="str">
        <x:v>samples.jbpub.com</x:v>
      </x:c>
      <x:c r="F406" s="5" t="str">
        <x:v>其他网页</x:v>
      </x:c>
      <x:c r="G406" s="5" t="str">
        <x:v>否</x:v>
      </x:c>
      <x:c r="H406" s="5" t="str"/>
      <x:c r="I406" s="5" t="str">
        <x:v>自然</x:v>
      </x:c>
      <x:c r="J406" s="5" t="str">
        <x:v>未核实</x:v>
      </x:c>
    </x:row>
    <x:row r="407" ht="27" customHeight="1">
      <x:c r="A407" s="5" t="str">
        <x:v>元宝</x:v>
      </x:c>
      <x:c r="B407" s="5" t="str">
        <x:v>Q5</x:v>
      </x:c>
      <x:c r="C407" s="5" t="str">
        <x:v>20分离乳清蛋白蛋白质含量</x:v>
      </x:c>
      <x:c r="D407" s="5" t="str">
        <x:v>https://health.baidu.com/m/detail/ar_5761698500595742325</x:v>
      </x:c>
      <x:c r="E407" s="5" t="str">
        <x:v>health.baidu.com</x:v>
      </x:c>
      <x:c r="F407" s="5" t="str">
        <x:v>其他网页</x:v>
      </x:c>
      <x:c r="G407" s="5" t="str">
        <x:v>否</x:v>
      </x:c>
      <x:c r="H407" s="5" t="str"/>
      <x:c r="I407" s="5" t="str">
        <x:v>自然</x:v>
      </x:c>
      <x:c r="J407" s="5" t="str">
        <x:v>未核实</x:v>
      </x:c>
    </x:row>
    <x:row r="408" ht="27" customHeight="1">
      <x:c r="A408" s="5" t="str">
        <x:v>元宝</x:v>
      </x:c>
      <x:c r="B408" s="5" t="str">
        <x:v>Q5</x:v>
      </x:c>
      <x:c r="C408" s="5" t="str">
        <x:v>Lactose Intolerance</x:v>
      </x:c>
      <x:c r="D408" s="5" t="str">
        <x:v>https://orlandogastroenterology.com/lactose-intolerance/</x:v>
      </x:c>
      <x:c r="E408" s="5" t="str">
        <x:v>orlandogastroenterology.com</x:v>
      </x:c>
      <x:c r="F408" s="5" t="str">
        <x:v>其他网页</x:v>
      </x:c>
      <x:c r="G408" s="5" t="str">
        <x:v>否</x:v>
      </x:c>
      <x:c r="H408" s="5" t="str"/>
      <x:c r="I408" s="5" t="str">
        <x:v>自然</x:v>
      </x:c>
      <x:c r="J408" s="5" t="str">
        <x:v>未核实</x:v>
      </x:c>
    </x:row>
    <x:row r="409" ht="27" customHeight="1">
      <x:c r="A409" s="5" t="str">
        <x:v>元宝</x:v>
      </x:c>
      <x:c r="B409" s="5" t="str">
        <x:v>Q5</x:v>
      </x:c>
      <x:c r="C409" s="5" t="str">
        <x:v>2026年喝蛋白粉减少肠道不适的选品参考:从乳糖含量开始筛选</x:v>
      </x:c>
      <x:c r="D409" s="5" t="str">
        <x:v>https://m.99.com.cn/a/2492206/</x:v>
      </x:c>
      <x:c r="E409" s="5" t="str">
        <x:v>99.com.cn</x:v>
      </x:c>
      <x:c r="F409" s="5" t="str">
        <x:v>其他网页</x:v>
      </x:c>
      <x:c r="G409" s="5" t="str">
        <x:v>否</x:v>
      </x:c>
      <x:c r="H409" s="5" t="str"/>
      <x:c r="I409" s="5" t="str">
        <x:v>自然</x:v>
      </x:c>
      <x:c r="J409" s="5" t="str">
        <x:v>未核实</x:v>
      </x:c>
    </x:row>
    <x:row r="410" ht="27" customHeight="1">
      <x:c r="A410" s="5" t="str">
        <x:v>元宝</x:v>
      </x:c>
      <x:c r="B410" s="5" t="str">
        <x:v>Q5</x:v>
      </x:c>
      <x:c r="C410" s="5" t="str">
        <x:v>关于蛋白粉,你选对了吗?</x:v>
      </x:c>
      <x:c r="D410" s="5" t="str">
        <x:v>http://mp.weixin.qq.com/s?__biz=MjM5ODk5MTcwMQ==&amp;mid=2448570239&amp;idx=4&amp;sn=faae264f8871a57eaac28c43aa17aa57&amp;chksm=b3589f7fff77c2e8a502e275c332616f3d63cf93f445500eb6d934cb00331437dd18cf1d139e#rd</x:v>
      </x:c>
      <x:c r="E410" s="5" t="str">
        <x:v>mp.weixin.qq.com</x:v>
      </x:c>
      <x:c r="F410" s="5" t="str">
        <x:v>UGC/视频/公众号</x:v>
      </x:c>
      <x:c r="G410" s="5" t="str">
        <x:v>否</x:v>
      </x:c>
      <x:c r="H410" s="5" t="str"/>
      <x:c r="I410" s="5" t="str">
        <x:v>自然</x:v>
      </x:c>
      <x:c r="J410" s="5" t="str">
        <x:v>未核实</x:v>
      </x:c>
    </x:row>
    <x:row r="411" ht="27" customHeight="1">
      <x:c r="A411" s="5" t="str">
        <x:v>元宝</x:v>
      </x:c>
      <x:c r="B411" s="5" t="str">
        <x:v>Q5</x:v>
      </x:c>
      <x:c r="C411" s="5" t="str">
        <x:v>Lactose intolerance: Avoiding dairy unnecessary in most cases</x:v>
      </x:c>
      <x:c r="D411" s="5" t="str">
        <x:v>https://www.sciencecodex.com/lactose_intolerance_avoiding_dairy_unnecessary_in_most_cases</x:v>
      </x:c>
      <x:c r="E411" s="5" t="str">
        <x:v>sciencecodex.com</x:v>
      </x:c>
      <x:c r="F411" s="5" t="str">
        <x:v>其他网页</x:v>
      </x:c>
      <x:c r="G411" s="5" t="str">
        <x:v>否</x:v>
      </x:c>
      <x:c r="H411" s="5" t="str"/>
      <x:c r="I411" s="5" t="str">
        <x:v>自然</x:v>
      </x:c>
      <x:c r="J411" s="5" t="str">
        <x:v>未核实</x:v>
      </x:c>
    </x:row>
    <x:row r="412" ht="27" customHeight="1">
      <x:c r="A412" s="5" t="str">
        <x:v>元宝</x:v>
      </x:c>
      <x:c r="B412" s="5" t="str">
        <x:v>Q5</x:v>
      </x:c>
      <x:c r="C412" s="5" t="str">
        <x:v>蛋白粉类型怎么选?FoYes对比选购指南</x:v>
      </x:c>
      <x:c r="D412" s="5" t="str">
        <x:v>http://www.bozhou.cn/p/396240.html</x:v>
      </x:c>
      <x:c r="E412" s="5" t="str">
        <x:v>bozhou.cn</x:v>
      </x:c>
      <x:c r="F412" s="5" t="str">
        <x:v>其他网页</x:v>
      </x:c>
      <x:c r="G412" s="5" t="str">
        <x:v>否</x:v>
      </x:c>
      <x:c r="H412" s="5" t="str"/>
      <x:c r="I412" s="5" t="str">
        <x:v>自然</x:v>
      </x:c>
      <x:c r="J412" s="5" t="str">
        <x:v>未核实</x:v>
      </x:c>
    </x:row>
    <x:row r="413" ht="27" customHeight="1">
      <x:c r="A413" s="5" t="str">
        <x:v>元宝</x:v>
      </x:c>
      <x:c r="B413" s="5" t="str">
        <x:v>Q5</x:v>
      </x:c>
      <x:c r="C413" s="5" t="str">
        <x:v>春节送礼攻略!四步教你选对优质蛋白粉,保你送到心坎里</x:v>
      </x:c>
      <x:c r="D413" s="5" t="str">
        <x:v>https://cloud.kepuchina.cn/newSearch/imgText?id=7422065689367175168</x:v>
      </x:c>
      <x:c r="E413" s="5" t="str">
        <x:v>cloud.kepuchina.cn</x:v>
      </x:c>
      <x:c r="F413" s="5" t="str">
        <x:v>其他网页</x:v>
      </x:c>
      <x:c r="G413" s="5" t="str">
        <x:v>否</x:v>
      </x:c>
      <x:c r="H413" s="5" t="str"/>
      <x:c r="I413" s="5" t="str">
        <x:v>自然</x:v>
      </x:c>
      <x:c r="J413" s="5" t="str">
        <x:v>未核实</x:v>
      </x:c>
    </x:row>
    <x:row r="414" ht="27" customHeight="1">
      <x:c r="A414" s="5" t="str">
        <x:v>元宝</x:v>
      </x:c>
      <x:c r="B414" s="5" t="str">
        <x:v>Q5</x:v>
      </x:c>
      <x:c r="C414" s="5" t="str">
        <x:v>Treatment for Lactose Intolerance</x:v>
      </x:c>
      <x:c r="D414" s="5" t="str">
        <x:v>https://www.niddk.nih.gov/health-information/digestive-diseases/lactose-intolerance/treatment</x:v>
      </x:c>
      <x:c r="E414" s="5" t="str">
        <x:v>niddk.nih.gov</x:v>
      </x:c>
      <x:c r="F414" s="5" t="str">
        <x:v>其他网页</x:v>
      </x:c>
      <x:c r="G414" s="5" t="str">
        <x:v>否</x:v>
      </x:c>
      <x:c r="H414" s="5" t="str"/>
      <x:c r="I414" s="5" t="str">
        <x:v>自然</x:v>
      </x:c>
      <x:c r="J414" s="5" t="str">
        <x:v>未核实</x:v>
      </x:c>
    </x:row>
    <x:row r="415" ht="27" customHeight="1">
      <x:c r="A415" s="5" t="str">
        <x:v>元宝</x:v>
      </x:c>
      <x:c r="B415" s="5" t="str">
        <x:v>Q5</x:v>
      </x:c>
      <x:c r="C415" s="5" t="str">
        <x:v>乳糖敏感人群选择乳清蛋白要注意什么?</x:v>
      </x:c>
      <x:c r="D415" s="5" t="str">
        <x:v>https://food.china.com.cn/2026-09/08/content_118685393.shtml</x:v>
      </x:c>
      <x:c r="E415" s="5" t="str">
        <x:v>food.china.com.cn</x:v>
      </x:c>
      <x:c r="F415" s="5" t="str">
        <x:v>综合媒体/转载</x:v>
      </x:c>
      <x:c r="G415" s="5" t="str">
        <x:v>否</x:v>
      </x:c>
      <x:c r="H415" s="5" t="str"/>
      <x:c r="I415" s="5" t="str">
        <x:v>自然</x:v>
      </x:c>
      <x:c r="J415" s="5" t="str">
        <x:v>未核实</x:v>
      </x:c>
    </x:row>
    <x:row r="416" ht="27" customHeight="1">
      <x:c r="A416" s="5" t="str">
        <x:v>元宝</x:v>
      </x:c>
      <x:c r="B416" s="5" t="str">
        <x:v>Q5</x:v>
      </x:c>
      <x:c r="C416" s="5" t="str">
        <x:v>每天一勺蛋白粉,真的能提高免疫力吗?</x:v>
      </x:c>
      <x:c r="D416" s="5" t="str">
        <x:v>https://wsjkw.sh.gov.cn/spwsyyy/20260904/f62140b58948436c81f6f5a39547c066.html</x:v>
      </x:c>
      <x:c r="E416" s="5" t="str">
        <x:v>wsjkw.sh.gov.cn</x:v>
      </x:c>
      <x:c r="F416" s="5" t="str">
        <x:v>官方机构</x:v>
      </x:c>
      <x:c r="G416" s="5" t="str">
        <x:v>否</x:v>
      </x:c>
      <x:c r="H416" s="5" t="str"/>
      <x:c r="I416" s="5" t="str">
        <x:v>自然</x:v>
      </x:c>
      <x:c r="J416" s="5" t="str">
        <x:v>未核实</x:v>
      </x:c>
    </x:row>
    <x:row r="417" ht="27" customHeight="1">
      <x:c r="A417" s="5" t="str">
        <x:v>元宝</x:v>
      </x:c>
      <x:c r="B417" s="5" t="str">
        <x:v>Q5</x:v>
      </x:c>
      <x:c r="C417" s="5" t="str">
        <x:v>Lactose Intolerance: Symptoms, Causes &amp; Treatment</x:v>
      </x:c>
      <x:c r="D417" s="5" t="str">
        <x:v>https://www.tuasaude.com/en/lactose-intolerance</x:v>
      </x:c>
      <x:c r="E417" s="5" t="str">
        <x:v>tuasaude.com</x:v>
      </x:c>
      <x:c r="F417" s="5" t="str">
        <x:v>其他网页</x:v>
      </x:c>
      <x:c r="G417" s="5" t="str">
        <x:v>否</x:v>
      </x:c>
      <x:c r="H417" s="5" t="str"/>
      <x:c r="I417" s="5" t="str">
        <x:v>自然</x:v>
      </x:c>
      <x:c r="J417" s="5" t="str">
        <x:v>未核实</x:v>
      </x:c>
    </x:row>
    <x:row r="418" ht="27" customHeight="1">
      <x:c r="A418" s="5" t="str">
        <x:v>元宝</x:v>
      </x:c>
      <x:c r="B418" s="5" t="str">
        <x:v>Q5</x:v>
      </x:c>
      <x:c r="C418" s="5" t="str">
        <x:v>如何合理选择蛋白粉?</x:v>
      </x:c>
      <x:c r="D418" s="5" t="str">
        <x:v>http://mp.weixin.qq.com/s?__biz=MzIzMzY2MTIzMw==&amp;mid=2247485308&amp;idx=1&amp;sn=e47fde45060f65abb26993a939309e20&amp;chksm=e92504d8c9aa04af21aef7b7d4e1b1d2e321e2ad751ee712579e77431cc1cb9285b4214e93c8#rd</x:v>
      </x:c>
      <x:c r="E418" s="5" t="str">
        <x:v>mp.weixin.qq.com</x:v>
      </x:c>
      <x:c r="F418" s="5" t="str">
        <x:v>UGC/视频/公众号</x:v>
      </x:c>
      <x:c r="G418" s="5" t="str">
        <x:v>否</x:v>
      </x:c>
      <x:c r="H418" s="5" t="str"/>
      <x:c r="I418" s="5" t="str">
        <x:v>自然</x:v>
      </x:c>
      <x:c r="J418" s="5" t="str">
        <x:v>未核实</x:v>
      </x:c>
    </x:row>
    <x:row r="419" ht="27" customHeight="1">
      <x:c r="A419" s="5" t="str">
        <x:v>元宝</x:v>
      </x:c>
      <x:c r="B419" s="5" t="str">
        <x:v>Q5</x:v>
      </x:c>
      <x:c r="C419" s="5" t="str">
        <x:v>吃蛋白粉老是拉肚子如何治疗</x:v>
      </x:c>
      <x:c r="D419" s="5" t="str">
        <x:v>https://m.bohe.cn/article/mip/336xvbo62kr01gl.html</x:v>
      </x:c>
      <x:c r="E419" s="5" t="str">
        <x:v>bohe.cn</x:v>
      </x:c>
      <x:c r="F419" s="5" t="str">
        <x:v>其他网页</x:v>
      </x:c>
      <x:c r="G419" s="5" t="str">
        <x:v>否</x:v>
      </x:c>
      <x:c r="H419" s="5" t="str"/>
      <x:c r="I419" s="5" t="str">
        <x:v>自然</x:v>
      </x:c>
      <x:c r="J419" s="5" t="str">
        <x:v>未核实</x:v>
      </x:c>
    </x:row>
    <x:row r="420" ht="27" customHeight="1">
      <x:c r="A420" s="5" t="str">
        <x:v>元宝</x:v>
      </x:c>
      <x:c r="B420" s="5" t="str">
        <x:v>Q5</x:v>
      </x:c>
      <x:c r="C420" s="5" t="str">
        <x:v>濃縮乳清､分離乳清､水解乳清怎麼選?三種乳清蛋白完整比較</x:v>
      </x:c>
      <x:c r="D420" s="5" t="str">
        <x:v>https://blog.betterbio.com.tw/?p=1645</x:v>
      </x:c>
      <x:c r="E420" s="5" t="str">
        <x:v>blog.betterbio.com.tw</x:v>
      </x:c>
      <x:c r="F420" s="5" t="str">
        <x:v>其他网页</x:v>
      </x:c>
      <x:c r="G420" s="5" t="str">
        <x:v>否</x:v>
      </x:c>
      <x:c r="H420" s="5" t="str"/>
      <x:c r="I420" s="5" t="str">
        <x:v>自然</x:v>
      </x:c>
      <x:c r="J420" s="5" t="str">
        <x:v>未核实</x:v>
      </x:c>
    </x:row>
    <x:row r="421" ht="27" customHeight="1">
      <x:c r="A421" s="5" t="str">
        <x:v>元宝</x:v>
      </x:c>
      <x:c r="B421" s="5" t="str">
        <x:v>Q6</x:v>
      </x:c>
      <x:c r="C421" s="5" t="str">
        <x:v>不会拉肚子的蛋白粉</x:v>
      </x:c>
      <x:c r="D421" s="5" t="str">
        <x:v>https://m.baidu.com/bh/m/detail/ar_7068730561582775070</x:v>
      </x:c>
      <x:c r="E421" s="5" t="str">
        <x:v>baidu.com</x:v>
      </x:c>
      <x:c r="F421" s="5" t="str">
        <x:v>其他网页</x:v>
      </x:c>
      <x:c r="G421" s="5" t="str">
        <x:v>否</x:v>
      </x:c>
      <x:c r="H421" s="5" t="str"/>
      <x:c r="I421" s="5" t="str">
        <x:v>自然</x:v>
      </x:c>
      <x:c r="J421" s="5" t="str">
        <x:v>未核实</x:v>
      </x:c>
    </x:row>
    <x:row r="422" ht="27" customHeight="1">
      <x:c r="A422" s="5" t="str">
        <x:v>元宝</x:v>
      </x:c>
      <x:c r="B422" s="5" t="str">
        <x:v>Q6</x:v>
      </x:c>
      <x:c r="C422" s="5" t="str">
        <x:v>货架上的蛋白粉怎么挑?营养专家披露“原料·工艺·认证”三重标准</x:v>
      </x:c>
      <x:c r="D422" s="5" t="str">
        <x:v>https://gxlg.icswb.com/h/100046/20260415/973777.html</x:v>
      </x:c>
      <x:c r="E422" s="5" t="str">
        <x:v>gxlg.icswb.com</x:v>
      </x:c>
      <x:c r="F422" s="5" t="str">
        <x:v>其他网页</x:v>
      </x:c>
      <x:c r="G422" s="5" t="str">
        <x:v>否</x:v>
      </x:c>
      <x:c r="H422" s="5" t="str"/>
      <x:c r="I422" s="5" t="str">
        <x:v>自然</x:v>
      </x:c>
      <x:c r="J422" s="5" t="str">
        <x:v>未核实</x:v>
      </x:c>
    </x:row>
    <x:row r="423" ht="27" customHeight="1">
      <x:c r="A423" s="5" t="str">
        <x:v>元宝</x:v>
      </x:c>
      <x:c r="B423" s="5" t="str">
        <x:v>Q6</x:v>
      </x:c>
      <x:c r="C423" s="5" t="str">
        <x:v>素食 蛋白粉</x:v>
      </x:c>
      <x:c r="D423" s="5" t="str">
        <x:v>https://health.baidu.com/m/detail/ar_6781721214485708508</x:v>
      </x:c>
      <x:c r="E423" s="5" t="str">
        <x:v>health.baidu.com</x:v>
      </x:c>
      <x:c r="F423" s="5" t="str">
        <x:v>其他网页</x:v>
      </x:c>
      <x:c r="G423" s="5" t="str">
        <x:v>否</x:v>
      </x:c>
      <x:c r="H423" s="5" t="str"/>
      <x:c r="I423" s="5" t="str">
        <x:v>自然</x:v>
      </x:c>
      <x:c r="J423" s="5" t="str">
        <x:v>未核实</x:v>
      </x:c>
    </x:row>
    <x:row r="424" ht="27" customHeight="1">
      <x:c r="A424" s="5" t="str">
        <x:v>元宝</x:v>
      </x:c>
      <x:c r="B424" s="5" t="str">
        <x:v>Q6</x:v>
      </x:c>
      <x:c r="C424" s="5" t="str">
        <x:v>肠胃差不建议吃蛋白粉吗</x:v>
      </x:c>
      <x:c r="D424" s="5" t="str">
        <x:v>https://m.pingguolv.com/ask/OIfcFIZOkZkW.html</x:v>
      </x:c>
      <x:c r="E424" s="5" t="str">
        <x:v>pingguolv.com</x:v>
      </x:c>
      <x:c r="F424" s="5" t="str">
        <x:v>其他网页</x:v>
      </x:c>
      <x:c r="G424" s="5" t="str">
        <x:v>否</x:v>
      </x:c>
      <x:c r="H424" s="5" t="str"/>
      <x:c r="I424" s="5" t="str">
        <x:v>自然</x:v>
      </x:c>
      <x:c r="J424" s="5" t="str">
        <x:v>未核实</x:v>
      </x:c>
    </x:row>
    <x:row r="425" ht="27" customHeight="1">
      <x:c r="A425" s="5" t="str">
        <x:v>元宝</x:v>
      </x:c>
      <x:c r="B425" s="5" t="str">
        <x:v>Q6</x:v>
      </x:c>
      <x:c r="C425" s="5" t="str">
        <x:v>【安医科普】蛋白粉,你选对了吗?</x:v>
      </x:c>
      <x:c r="D425" s="5" t="str">
        <x:v>http://mp.weixin.qq.com/s?__biz=MzIxOTE2MTkzNw==&amp;mid=2247574738&amp;idx=1&amp;sn=b8271f87107c4b3b5f41e95a98db24b1&amp;chksm=9691b5dad2079da551ee212bd2b651e13de386a623e3fd2b5cee199bbc40e16b01dabb4c0bcc#rd</x:v>
      </x:c>
      <x:c r="E425" s="5" t="str">
        <x:v>mp.weixin.qq.com</x:v>
      </x:c>
      <x:c r="F425" s="5" t="str">
        <x:v>UGC/视频/公众号</x:v>
      </x:c>
      <x:c r="G425" s="5" t="str">
        <x:v>否</x:v>
      </x:c>
      <x:c r="H425" s="5" t="str"/>
      <x:c r="I425" s="5" t="str">
        <x:v>自然</x:v>
      </x:c>
      <x:c r="J425" s="5" t="str">
        <x:v>未核实</x:v>
      </x:c>
    </x:row>
    <x:row r="426" ht="27" customHeight="1">
      <x:c r="A426" s="5" t="str">
        <x:v>元宝</x:v>
      </x:c>
      <x:c r="B426" s="5" t="str">
        <x:v>Q6</x:v>
      </x:c>
      <x:c r="C426" s="5" t="str">
        <x:v>分离乳清蛋白粉是什么?从牛奶到高纯度蛋白粉的来龙去脉</x:v>
      </x:c>
      <x:c r="D426" s="5" t="str">
        <x:v>https://food.china.com.cn/2026-09/08/content_118685368.shtml</x:v>
      </x:c>
      <x:c r="E426" s="5" t="str">
        <x:v>food.china.com.cn</x:v>
      </x:c>
      <x:c r="F426" s="5" t="str">
        <x:v>综合媒体/转载</x:v>
      </x:c>
      <x:c r="G426" s="5" t="str">
        <x:v>否</x:v>
      </x:c>
      <x:c r="H426" s="5" t="str"/>
      <x:c r="I426" s="5" t="str">
        <x:v>自然</x:v>
      </x:c>
      <x:c r="J426" s="5" t="str">
        <x:v>未核实</x:v>
      </x:c>
    </x:row>
    <x:row r="427" ht="27" customHeight="1">
      <x:c r="A427" s="5" t="str">
        <x:v>元宝</x:v>
      </x:c>
      <x:c r="B427" s="5" t="str">
        <x:v>Q6</x:v>
      </x:c>
      <x:c r="C427" s="5" t="str">
        <x:v>植物蛋白粉推荐</x:v>
      </x:c>
      <x:c r="D427" s="5" t="str">
        <x:v>https://m.baidu.com/bh/m/detail/ar_6210899101255198729</x:v>
      </x:c>
      <x:c r="E427" s="5" t="str">
        <x:v>baidu.com</x:v>
      </x:c>
      <x:c r="F427" s="5" t="str">
        <x:v>其他网页</x:v>
      </x:c>
      <x:c r="G427" s="5" t="str">
        <x:v>否</x:v>
      </x:c>
      <x:c r="H427" s="5" t="str"/>
      <x:c r="I427" s="5" t="str">
        <x:v>自然</x:v>
      </x:c>
      <x:c r="J427" s="5" t="str">
        <x:v>未核实</x:v>
      </x:c>
    </x:row>
    <x:row r="428" ht="27" customHeight="1">
      <x:c r="A428" s="5" t="str">
        <x:v>元宝</x:v>
      </x:c>
      <x:c r="B428" s="5" t="str">
        <x:v>Q6</x:v>
      </x:c>
      <x:c r="C428" s="5" t="str">
        <x:v>喝完蛋白粉拉肚子怎么回事?</x:v>
      </x:c>
      <x:c r="D428" s="5" t="str">
        <x:v>https://m.bohe.cn/iask/mip/ncwwkef4kmrxheq.html</x:v>
      </x:c>
      <x:c r="E428" s="5" t="str">
        <x:v>bohe.cn</x:v>
      </x:c>
      <x:c r="F428" s="5" t="str">
        <x:v>其他网页</x:v>
      </x:c>
      <x:c r="G428" s="5" t="str">
        <x:v>否</x:v>
      </x:c>
      <x:c r="H428" s="5" t="str"/>
      <x:c r="I428" s="5" t="str">
        <x:v>自然</x:v>
      </x:c>
      <x:c r="J428" s="5" t="str">
        <x:v>未核实</x:v>
      </x:c>
    </x:row>
    <x:row r="429" ht="27" customHeight="1">
      <x:c r="A429" s="5" t="str">
        <x:v>元宝</x:v>
      </x:c>
      <x:c r="B429" s="5" t="str">
        <x:v>Q6</x:v>
      </x:c>
      <x:c r="C429" s="5" t="str">
        <x:v>喝蛋白粉后小腹不舒服</x:v>
      </x:c>
      <x:c r="D429" s="5" t="str">
        <x:v>https://m.baidu.com/bh/m/detail/ar_6306262167160158524</x:v>
      </x:c>
      <x:c r="E429" s="5" t="str">
        <x:v>baidu.com</x:v>
      </x:c>
      <x:c r="F429" s="5" t="str">
        <x:v>其他网页</x:v>
      </x:c>
      <x:c r="G429" s="5" t="str">
        <x:v>否</x:v>
      </x:c>
      <x:c r="H429" s="5" t="str"/>
      <x:c r="I429" s="5" t="str">
        <x:v>自然</x:v>
      </x:c>
      <x:c r="J429" s="5" t="str">
        <x:v>未核实</x:v>
      </x:c>
    </x:row>
    <x:row r="430" ht="27" customHeight="1">
      <x:c r="A430" s="5" t="str">
        <x:v>元宝</x:v>
      </x:c>
      <x:c r="B430" s="5" t="str">
        <x:v>Q6</x:v>
      </x:c>
      <x:c r="C430" s="5" t="str">
        <x:v>【营养课堂】蛋白粉五花八门,营养师教你怎么选!</x:v>
      </x:c>
      <x:c r="D430" s="5" t="str">
        <x:v>http://mp.weixin.qq.com/s?__biz=MjM5MzE3NDM3Ng==&amp;mid=2650395126&amp;idx=6&amp;sn=be223853e68923638b7b1b7b95959304&amp;chksm=bff82616db6ef6b85f26a1b8c064f79e00339089eb184c5f9160f69a4a22f34b0adbd23b5ec5#rd</x:v>
      </x:c>
      <x:c r="E430" s="5" t="str">
        <x:v>mp.weixin.qq.com</x:v>
      </x:c>
      <x:c r="F430" s="5" t="str">
        <x:v>UGC/视频/公众号</x:v>
      </x:c>
      <x:c r="G430" s="5" t="str">
        <x:v>否</x:v>
      </x:c>
      <x:c r="H430" s="5" t="str"/>
      <x:c r="I430" s="5" t="str">
        <x:v>自然</x:v>
      </x:c>
      <x:c r="J430" s="5" t="str">
        <x:v>未核实</x:v>
      </x:c>
    </x:row>
    <x:row r="431" ht="27" customHeight="1">
      <x:c r="A431" s="5" t="str">
        <x:v>元宝</x:v>
      </x:c>
      <x:c r="B431" s="5" t="str">
        <x:v>Q6</x:v>
      </x:c>
      <x:c r="C431" s="5" t="str">
        <x:v>植物蛋白质粉的作用与功效</x:v>
      </x:c>
      <x:c r="D431" s="5" t="str">
        <x:v>https://www.bohe.cn/article/view/9wt9tilqhkonjx2.html</x:v>
      </x:c>
      <x:c r="E431" s="5" t="str">
        <x:v>bohe.cn</x:v>
      </x:c>
      <x:c r="F431" s="5" t="str">
        <x:v>其他网页</x:v>
      </x:c>
      <x:c r="G431" s="5" t="str">
        <x:v>否</x:v>
      </x:c>
      <x:c r="H431" s="5" t="str"/>
      <x:c r="I431" s="5" t="str">
        <x:v>自然</x:v>
      </x:c>
      <x:c r="J431" s="5" t="str">
        <x:v>未核实</x:v>
      </x:c>
    </x:row>
    <x:row r="432" ht="27" customHeight="1">
      <x:c r="A432" s="5" t="str">
        <x:v>元宝</x:v>
      </x:c>
      <x:c r="B432" s="5" t="str">
        <x:v>Q6</x:v>
      </x:c>
      <x:c r="C432" s="5" t="str">
        <x:v>吃了蛋白粉胃不舒服怎么回事</x:v>
      </x:c>
      <x:c r="D432" s="5" t="str">
        <x:v>https://health.baidu.com/m/detail/ar_6145662589579426337</x:v>
      </x:c>
      <x:c r="E432" s="5" t="str">
        <x:v>health.baidu.com</x:v>
      </x:c>
      <x:c r="F432" s="5" t="str">
        <x:v>其他网页</x:v>
      </x:c>
      <x:c r="G432" s="5" t="str">
        <x:v>否</x:v>
      </x:c>
      <x:c r="H432" s="5" t="str"/>
      <x:c r="I432" s="5" t="str">
        <x:v>自然</x:v>
      </x:c>
      <x:c r="J432" s="5" t="str">
        <x:v>未核实</x:v>
      </x:c>
    </x:row>
    <x:row r="433" ht="27" customHeight="1">
      <x:c r="A433" s="5" t="str">
        <x:v>元宝</x:v>
      </x:c>
      <x:c r="B433" s="5" t="str">
        <x:v>Q6</x:v>
      </x:c>
      <x:c r="C433" s="5" t="str">
        <x:v>喝蛋白粉拉肚子怎么办</x:v>
      </x:c>
      <x:c r="D433" s="5" t="str">
        <x:v>https://www.bohe.cn/article/view/ukcgtwfozkf5m0f.html</x:v>
      </x:c>
      <x:c r="E433" s="5" t="str">
        <x:v>bohe.cn</x:v>
      </x:c>
      <x:c r="F433" s="5" t="str">
        <x:v>其他网页</x:v>
      </x:c>
      <x:c r="G433" s="5" t="str">
        <x:v>否</x:v>
      </x:c>
      <x:c r="H433" s="5" t="str"/>
      <x:c r="I433" s="5" t="str">
        <x:v>自然</x:v>
      </x:c>
      <x:c r="J433" s="5" t="str">
        <x:v>未核实</x:v>
      </x:c>
    </x:row>
    <x:row r="434" ht="27" customHeight="1">
      <x:c r="A434" s="5" t="str">
        <x:v>元宝</x:v>
      </x:c>
      <x:c r="B434" s="5" t="str">
        <x:v>Q6</x:v>
      </x:c>
      <x:c r="C434" s="5" t="str">
        <x:v>浓缩乳清蛋白</x:v>
      </x:c>
      <x:c r="D434" s="5" t="str">
        <x:v>https://baike.baidu.com/item/%E6%B5%93%E7%BC%A9%E4%B9%B3%E6%B8%85%E8%9B%8B%E7%99%BD/5164546</x:v>
      </x:c>
      <x:c r="E434" s="5" t="str">
        <x:v>baike.baidu.com</x:v>
      </x:c>
      <x:c r="F434" s="5" t="str">
        <x:v>百科</x:v>
      </x:c>
      <x:c r="G434" s="5" t="str">
        <x:v>否</x:v>
      </x:c>
      <x:c r="H434" s="5" t="str"/>
      <x:c r="I434" s="5" t="str">
        <x:v>自然</x:v>
      </x:c>
      <x:c r="J434" s="5" t="str">
        <x:v>未核实</x:v>
      </x:c>
    </x:row>
    <x:row r="435" ht="27" customHeight="1">
      <x:c r="A435" s="5" t="str">
        <x:v>元宝</x:v>
      </x:c>
      <x:c r="B435" s="5" t="str">
        <x:v>Q6</x:v>
      </x:c>
      <x:c r="C435" s="5" t="str">
        <x:v>植物蛋白是什麼?大豆蛋白､豌豆蛋白､米蛋白完整解析Spark Protein 官方網站</x:v>
      </x:c>
      <x:c r="D435" s="5" t="str">
        <x:v>https://www.sparkprotein.com/pages/plant-protein</x:v>
      </x:c>
      <x:c r="E435" s="5" t="str">
        <x:v>sparkprotein.com</x:v>
      </x:c>
      <x:c r="F435" s="5" t="str">
        <x:v>其他网页</x:v>
      </x:c>
      <x:c r="G435" s="5" t="str">
        <x:v>否</x:v>
      </x:c>
      <x:c r="H435" s="5" t="str"/>
      <x:c r="I435" s="5" t="str">
        <x:v>自然</x:v>
      </x:c>
      <x:c r="J435" s="5" t="str">
        <x:v>未核实</x:v>
      </x:c>
    </x:row>
    <x:row r="436" ht="27" customHeight="1">
      <x:c r="A436" s="5" t="str">
        <x:v>元宝</x:v>
      </x:c>
      <x:c r="B436" s="5" t="str">
        <x:v>Q6</x:v>
      </x:c>
      <x:c r="C436" s="5" t="str">
        <x:v>喝蛋白粉拉肚子是什么原因</x:v>
      </x:c>
      <x:c r="D436" s="5" t="str">
        <x:v>https://www.bohe.cn/article/view/e8q0m8vn9kytbbt.html</x:v>
      </x:c>
      <x:c r="E436" s="5" t="str">
        <x:v>bohe.cn</x:v>
      </x:c>
      <x:c r="F436" s="5" t="str">
        <x:v>其他网页</x:v>
      </x:c>
      <x:c r="G436" s="5" t="str">
        <x:v>否</x:v>
      </x:c>
      <x:c r="H436" s="5" t="str"/>
      <x:c r="I436" s="5" t="str">
        <x:v>自然</x:v>
      </x:c>
      <x:c r="J436" s="5" t="str">
        <x:v>未核实</x:v>
      </x:c>
    </x:row>
    <x:row r="437" ht="27" customHeight="1">
      <x:c r="A437" s="5" t="str">
        <x:v>元宝</x:v>
      </x:c>
      <x:c r="B437" s="5" t="str">
        <x:v>Q6</x:v>
      </x:c>
      <x:c r="C437" s="5" t="str">
        <x:v>乳糖不耐受该选哪种蛋白粉?</x:v>
      </x:c>
      <x:c r="D437" s="5" t="str">
        <x:v>https://mip.mfk.com/ask/30181949.shtml</x:v>
      </x:c>
      <x:c r="E437" s="5" t="str">
        <x:v>mip.mfk.com</x:v>
      </x:c>
      <x:c r="F437" s="5" t="str">
        <x:v>其他网页</x:v>
      </x:c>
      <x:c r="G437" s="5" t="str">
        <x:v>否</x:v>
      </x:c>
      <x:c r="H437" s="5" t="str"/>
      <x:c r="I437" s="5" t="str">
        <x:v>自然</x:v>
      </x:c>
      <x:c r="J437" s="5" t="str">
        <x:v>未核实</x:v>
      </x:c>
    </x:row>
    <x:row r="438" ht="27" customHeight="1">
      <x:c r="A438" s="5" t="str">
        <x:v>元宝</x:v>
      </x:c>
      <x:c r="B438" s="5" t="str">
        <x:v>Q6</x:v>
      </x:c>
      <x:c r="C438" s="5" t="str">
        <x:v>乳糖敏感人群選擇乳清蛋白要注意什麼?</x:v>
      </x:c>
      <x:c r="D438" s="5" t="str">
        <x:v>https://big5.china.com.cn/gate/big5/food.china.com.cn/2026-09/08/content_118685393.shtml</x:v>
      </x:c>
      <x:c r="E438" s="5" t="str">
        <x:v>big5.china.com.cn</x:v>
      </x:c>
      <x:c r="F438" s="5" t="str">
        <x:v>综合媒体/转载</x:v>
      </x:c>
      <x:c r="G438" s="5" t="str">
        <x:v>否</x:v>
      </x:c>
      <x:c r="H438" s="5" t="str"/>
      <x:c r="I438" s="5" t="str">
        <x:v>自然</x:v>
      </x:c>
      <x:c r="J438" s="5" t="str">
        <x:v>未核实</x:v>
      </x:c>
    </x:row>
    <x:row r="439" ht="27" customHeight="1">
      <x:c r="A439" s="5" t="str">
        <x:v>元宝</x:v>
      </x:c>
      <x:c r="B439" s="5" t="str">
        <x:v>Q6</x:v>
      </x:c>
      <x:c r="C439" s="5" t="str">
        <x:v>中小西讲科普 教你如何选择合适蛋白粉:肿瘤患者的营养补充攻略</x:v>
      </x:c>
      <x:c r="D439" s="5" t="str">
        <x:v>http://mp.weixin.qq.com/s?__biz=MzU5OTAyNzc1Nw==&amp;mid=2247538226&amp;idx=2&amp;sn=0474f6f8a41eb656f189c7be3c37a0ac&amp;chksm=ffaae51af46d429c6885a894a6fcf260e6ce7a0b9fac2ab14da81096664cce541887086f4660#rd</x:v>
      </x:c>
      <x:c r="E439" s="5" t="str">
        <x:v>mp.weixin.qq.com</x:v>
      </x:c>
      <x:c r="F439" s="5" t="str">
        <x:v>UGC/视频/公众号</x:v>
      </x:c>
      <x:c r="G439" s="5" t="str">
        <x:v>否</x:v>
      </x:c>
      <x:c r="H439" s="5" t="str"/>
      <x:c r="I439" s="5" t="str">
        <x:v>自然</x:v>
      </x:c>
      <x:c r="J439" s="5" t="str">
        <x:v>未核实</x:v>
      </x:c>
    </x:row>
    <x:row r="440" ht="27" customHeight="1">
      <x:c r="A440" s="5" t="str">
        <x:v>元宝</x:v>
      </x:c>
      <x:c r="B440" s="5" t="str">
        <x:v>Q6</x:v>
      </x:c>
      <x:c r="C440" s="5" t="str">
        <x:v>喝蛋白粉拉肚子的原因</x:v>
      </x:c>
      <x:c r="D440" s="5" t="str">
        <x:v>https://article.fh21.com.cn/view/1023214.html</x:v>
      </x:c>
      <x:c r="E440" s="5" t="str">
        <x:v>article.fh21.com.cn</x:v>
      </x:c>
      <x:c r="F440" s="5" t="str">
        <x:v>其他网页</x:v>
      </x:c>
      <x:c r="G440" s="5" t="str">
        <x:v>否</x:v>
      </x:c>
      <x:c r="H440" s="5" t="str"/>
      <x:c r="I440" s="5" t="str">
        <x:v>自然</x:v>
      </x:c>
      <x:c r="J440" s="5" t="str">
        <x:v>未核实</x:v>
      </x:c>
    </x:row>
    <x:row r="441" ht="27" customHeight="1">
      <x:c r="A441" s="5" t="str">
        <x:v>元宝</x:v>
      </x:c>
      <x:c r="B441" s="5" t="str">
        <x:v>Q6</x:v>
      </x:c>
      <x:c r="C441" s="5" t="str">
        <x:v>喝乳清蛋白會拉肚子､脹氣?關鍵在選錯種類</x:v>
      </x:c>
      <x:c r="D441" s="5" t="str">
        <x:v>https://healthybodyreceipts.com/whey-protein-type/</x:v>
      </x:c>
      <x:c r="E441" s="5" t="str">
        <x:v>healthybodyreceipts.com</x:v>
      </x:c>
      <x:c r="F441" s="5" t="str">
        <x:v>其他网页</x:v>
      </x:c>
      <x:c r="G441" s="5" t="str">
        <x:v>否</x:v>
      </x:c>
      <x:c r="H441" s="5" t="str"/>
      <x:c r="I441" s="5" t="str">
        <x:v>自然</x:v>
      </x:c>
      <x:c r="J441" s="5" t="str">
        <x:v>未核实</x:v>
      </x:c>
    </x:row>
    <x:row r="442" ht="27" customHeight="1">
      <x:c r="A442" s="5" t="str">
        <x:v>元宝</x:v>
      </x:c>
      <x:c r="B442" s="5" t="str">
        <x:v>Q6</x:v>
      </x:c>
      <x:c r="C442" s="5" t="str">
        <x:v>如何科学选择蛋白粉</x:v>
      </x:c>
      <x:c r="D442" s="5" t="str">
        <x:v>https://bk.cnpharm.com/zgyyb/2024/08/17/318098.html</x:v>
      </x:c>
      <x:c r="E442" s="5" t="str">
        <x:v>bk.cnpharm.com</x:v>
      </x:c>
      <x:c r="F442" s="5" t="str">
        <x:v>其他网页</x:v>
      </x:c>
      <x:c r="G442" s="5" t="str">
        <x:v>否</x:v>
      </x:c>
      <x:c r="H442" s="5" t="str"/>
      <x:c r="I442" s="5" t="str">
        <x:v>自然</x:v>
      </x:c>
      <x:c r="J442" s="5" t="str">
        <x:v>未核实</x:v>
      </x:c>
    </x:row>
    <x:row r="443" ht="27" customHeight="1">
      <x:c r="A443" s="5" t="str">
        <x:v>元宝</x:v>
      </x:c>
      <x:c r="B443" s="5" t="str">
        <x:v>Q6</x:v>
      </x:c>
      <x:c r="C443" s="5" t="str">
        <x:v>肠胃不好可以喝蛋白粉吗</x:v>
      </x:c>
      <x:c r="D443" s="5" t="str">
        <x:v>https://health.baidu.com/m/detail/ar_7331428018636142080</x:v>
      </x:c>
      <x:c r="E443" s="5" t="str">
        <x:v>health.baidu.com</x:v>
      </x:c>
      <x:c r="F443" s="5" t="str">
        <x:v>其他网页</x:v>
      </x:c>
      <x:c r="G443" s="5" t="str">
        <x:v>否</x:v>
      </x:c>
      <x:c r="H443" s="5" t="str"/>
      <x:c r="I443" s="5" t="str">
        <x:v>自然</x:v>
      </x:c>
      <x:c r="J443" s="5" t="str">
        <x:v>未核实</x:v>
      </x:c>
    </x:row>
    <x:row r="444" ht="27" customHeight="1">
      <x:c r="A444" s="5" t="str">
        <x:v>元宝</x:v>
      </x:c>
      <x:c r="B444" s="5" t="str">
        <x:v>Q6</x:v>
      </x:c>
      <x:c r="C444" s="5" t="str">
        <x:v>喝蛋白粉能造成拉肚子吗</x:v>
      </x:c>
      <x:c r="D444" s="5" t="str">
        <x:v>https://www.bohe.cn/article/view/p8oikk6lkxw3b4p.html</x:v>
      </x:c>
      <x:c r="E444" s="5" t="str">
        <x:v>bohe.cn</x:v>
      </x:c>
      <x:c r="F444" s="5" t="str">
        <x:v>其他网页</x:v>
      </x:c>
      <x:c r="G444" s="5" t="str">
        <x:v>否</x:v>
      </x:c>
      <x:c r="H444" s="5" t="str"/>
      <x:c r="I444" s="5" t="str">
        <x:v>自然</x:v>
      </x:c>
      <x:c r="J444" s="5" t="str">
        <x:v>未核实</x:v>
      </x:c>
    </x:row>
    <x:row r="445" ht="27" customHeight="1">
      <x:c r="A445" s="5" t="str">
        <x:v>元宝</x:v>
      </x:c>
      <x:c r="B445" s="5" t="str">
        <x:v>Q6</x:v>
      </x:c>
      <x:c r="C445" s="5" t="str">
        <x:v>喝乳清會拉肚子?為什麼喝完乳清總是脹氣?營養師教你真正原因與替代選擇</x:v>
      </x:c>
      <x:c r="D445" s="5" t="str">
        <x:v>https://www.allin.taipei/zh-TW/blogs/diet-life/喝乳清會拉肚子</x:v>
      </x:c>
      <x:c r="E445" s="5" t="str">
        <x:v>allin.taipei</x:v>
      </x:c>
      <x:c r="F445" s="5" t="str">
        <x:v>其他网页</x:v>
      </x:c>
      <x:c r="G445" s="5" t="str">
        <x:v>否</x:v>
      </x:c>
      <x:c r="H445" s="5" t="str"/>
      <x:c r="I445" s="5" t="str">
        <x:v>自然</x:v>
      </x:c>
      <x:c r="J445" s="5" t="str">
        <x:v>未核实</x:v>
      </x:c>
    </x:row>
    <x:row r="446" ht="27" customHeight="1">
      <x:c r="A446" s="5" t="str">
        <x:v>元宝</x:v>
      </x:c>
      <x:c r="B446" s="5" t="str">
        <x:v>Q6</x:v>
      </x:c>
      <x:c r="C446" s="5" t="str">
        <x:v>科学补充蛋白质适量摄入更健康</x:v>
      </x:c>
      <x:c r="D446" s="5" t="str">
        <x:v>http://paper.cfsn.cn/content/2025-12/27/content_184131.htm</x:v>
      </x:c>
      <x:c r="E446" s="5" t="str">
        <x:v>paper.cfsn.cn</x:v>
      </x:c>
      <x:c r="F446" s="5" t="str">
        <x:v>其他网页</x:v>
      </x:c>
      <x:c r="G446" s="5" t="str">
        <x:v>否</x:v>
      </x:c>
      <x:c r="H446" s="5" t="str"/>
      <x:c r="I446" s="5" t="str">
        <x:v>自然</x:v>
      </x:c>
      <x:c r="J446" s="5" t="str">
        <x:v>未核实</x:v>
      </x:c>
    </x:row>
    <x:row r="447" ht="27" customHeight="1">
      <x:c r="A447" s="5" t="str">
        <x:v>元宝</x:v>
      </x:c>
      <x:c r="B447" s="5" t="str">
        <x:v>Q6</x:v>
      </x:c>
      <x:c r="C447" s="5" t="str">
        <x:v>【光明日报】补充蛋白质,不是吃不够,就是吃不对?</x:v>
      </x:c>
      <x:c r="D447" s="5" t="str">
        <x:v>https://ifnd.caas.cn/xwzx/mtbd/ef9c15ffa8f54c1eb47ccab953715f73.htm</x:v>
      </x:c>
      <x:c r="E447" s="5" t="str">
        <x:v>ifnd.caas.cn</x:v>
      </x:c>
      <x:c r="F447" s="5" t="str">
        <x:v>其他网页</x:v>
      </x:c>
      <x:c r="G447" s="5" t="str">
        <x:v>否</x:v>
      </x:c>
      <x:c r="H447" s="5" t="str"/>
      <x:c r="I447" s="5" t="str">
        <x:v>自然</x:v>
      </x:c>
      <x:c r="J447" s="5" t="str">
        <x:v>未核实</x:v>
      </x:c>
    </x:row>
    <x:row r="448" ht="27" customHeight="1">
      <x:c r="A448" s="5" t="str">
        <x:v>元宝</x:v>
      </x:c>
      <x:c r="B448" s="5" t="str">
        <x:v>Q6</x:v>
      </x:c>
      <x:c r="C448" s="5" t="str">
        <x:v>喝蛋白粉拉肚子怎么办</x:v>
      </x:c>
      <x:c r="D448" s="5" t="str">
        <x:v>https://www.mfk.com/ask/21590707.shtml</x:v>
      </x:c>
      <x:c r="E448" s="5" t="str">
        <x:v>mfk.com</x:v>
      </x:c>
      <x:c r="F448" s="5" t="str">
        <x:v>其他网页</x:v>
      </x:c>
      <x:c r="G448" s="5" t="str">
        <x:v>否</x:v>
      </x:c>
      <x:c r="H448" s="5" t="str"/>
      <x:c r="I448" s="5" t="str">
        <x:v>自然</x:v>
      </x:c>
      <x:c r="J448" s="5" t="str">
        <x:v>未核实</x:v>
      </x:c>
    </x:row>
    <x:row r="449" ht="27" customHeight="1">
      <x:c r="A449" s="5" t="str">
        <x:v>元宝</x:v>
      </x:c>
      <x:c r="B449" s="5" t="str">
        <x:v>Q6</x:v>
      </x:c>
      <x:c r="C449" s="5" t="str">
        <x:v>National Nutrition Week 2024年全民营养周</x:v>
      </x:c>
      <x:c r="D449" s="5" t="str">
        <x:v>https://www.cnsoc.org/activitykit4/files/@CmsXh_188541cc-8078-4b17-8a88-5f918b33d8c2.pdf</x:v>
      </x:c>
      <x:c r="E449" s="5" t="str">
        <x:v>cnsoc.org</x:v>
      </x:c>
      <x:c r="F449" s="5" t="str">
        <x:v>其他网页</x:v>
      </x:c>
      <x:c r="G449" s="5" t="str">
        <x:v>否</x:v>
      </x:c>
      <x:c r="H449" s="5" t="str"/>
      <x:c r="I449" s="5" t="str">
        <x:v>自然</x:v>
      </x:c>
      <x:c r="J449" s="5" t="str">
        <x:v>未核实</x:v>
      </x:c>
    </x:row>
    <x:row r="450" ht="27" customHeight="1">
      <x:c r="A450" s="5" t="str">
        <x:v>元宝</x:v>
      </x:c>
      <x:c r="B450" s="5" t="str">
        <x:v>Q6</x:v>
      </x:c>
      <x:c r="C450" s="5" t="str">
        <x:v>科学补营养 吃对更健康</x:v>
      </x:c>
      <x:c r="D450" s="5" t="str">
        <x:v>https://kpzg.people.com.cn/n1/2023/0922/c404214-40082870.html</x:v>
      </x:c>
      <x:c r="E450" s="5" t="str">
        <x:v>kpzg.people.com.cn</x:v>
      </x:c>
      <x:c r="F450" s="5" t="str">
        <x:v>其他网页</x:v>
      </x:c>
      <x:c r="G450" s="5" t="str">
        <x:v>否</x:v>
      </x:c>
      <x:c r="H450" s="5" t="str"/>
      <x:c r="I450" s="5" t="str">
        <x:v>自然</x:v>
      </x:c>
      <x:c r="J450" s="5" t="str">
        <x:v>未核实</x:v>
      </x:c>
    </x:row>
    <x:row r="451" ht="27" customHeight="1">
      <x:c r="A451" s="5" t="str">
        <x:v>元宝</x:v>
      </x:c>
      <x:c r="B451" s="5" t="str">
        <x:v>Q6</x:v>
      </x:c>
      <x:c r="C451" s="5" t="str">
        <x:v>喝完蛋白粉肚子不舒服怎么办</x:v>
      </x:c>
      <x:c r="D451" s="5" t="str">
        <x:v>https://m.fh21.com.cn/article/view/625056.html</x:v>
      </x:c>
      <x:c r="E451" s="5" t="str">
        <x:v>fh21.com.cn</x:v>
      </x:c>
      <x:c r="F451" s="5" t="str">
        <x:v>其他网页</x:v>
      </x:c>
      <x:c r="G451" s="5" t="str">
        <x:v>否</x:v>
      </x:c>
      <x:c r="H451" s="5" t="str"/>
      <x:c r="I451" s="5" t="str">
        <x:v>自然</x:v>
      </x:c>
      <x:c r="J451" s="5" t="str">
        <x:v>未核实</x:v>
      </x:c>
    </x:row>
    <x:row r="452" ht="27" customHeight="1">
      <x:c r="A452" s="5" t="str">
        <x:v>元宝</x:v>
      </x:c>
      <x:c r="B452" s="5" t="str">
        <x:v>Q6</x:v>
      </x:c>
      <x:c r="C452" s="5" t="str">
        <x:v>蛋白质对免疫系统有多重要?老人尤其要注意</x:v>
      </x:c>
      <x:c r="D452" s="5" t="str">
        <x:v>http://health.people.cn/n1/2022/0416/c14739-32400671.html</x:v>
      </x:c>
      <x:c r="E452" s="5" t="str">
        <x:v>health.people.cn</x:v>
      </x:c>
      <x:c r="F452" s="5" t="str">
        <x:v>其他网页</x:v>
      </x:c>
      <x:c r="G452" s="5" t="str">
        <x:v>否</x:v>
      </x:c>
      <x:c r="H452" s="5" t="str"/>
      <x:c r="I452" s="5" t="str">
        <x:v>自然</x:v>
      </x:c>
      <x:c r="J452" s="5" t="str">
        <x:v>未核实</x:v>
      </x:c>
    </x:row>
    <x:row r="453" ht="27" customHeight="1">
      <x:c r="A453" s="5" t="str">
        <x:v>元宝</x:v>
      </x:c>
      <x:c r="B453" s="5" t="str">
        <x:v>Q6</x:v>
      </x:c>
      <x:c r="C453" s="5" t="str">
        <x:v>石榴花·健康说 45%成年人蛋白质没吃够!不同人群补蛋白质,照着吃就行!</x:v>
      </x:c>
      <x:c r="D453" s="5" t="str">
        <x:v>https://xj.news.cn/_zzq_fulian/20260915/b15b564b116145009aaea4cabe3b1bc3/c.html</x:v>
      </x:c>
      <x:c r="E453" s="5" t="str">
        <x:v>xj.news.cn</x:v>
      </x:c>
      <x:c r="F453" s="5" t="str">
        <x:v>其他网页</x:v>
      </x:c>
      <x:c r="G453" s="5" t="str">
        <x:v>否</x:v>
      </x:c>
      <x:c r="H453" s="5" t="str"/>
      <x:c r="I453" s="5" t="str">
        <x:v>自然</x:v>
      </x:c>
      <x:c r="J453" s="5" t="str">
        <x:v>未核实</x:v>
      </x:c>
    </x:row>
    <x:row r="454" ht="27" customHeight="1">
      <x:c r="A454" s="5" t="str">
        <x:v>元宝</x:v>
      </x:c>
      <x:c r="B454" s="5" t="str">
        <x:v>Q6</x:v>
      </x:c>
      <x:c r="C454" s="5" t="str">
        <x:v>喝完蛋白粉肚子不舒服怎么办</x:v>
      </x:c>
      <x:c r="D454" s="5" t="str">
        <x:v>https://g.fh21.com.cn/article/mip/2zwk52skkrmfyhm.html</x:v>
      </x:c>
      <x:c r="E454" s="5" t="str">
        <x:v>g.fh21.com.cn</x:v>
      </x:c>
      <x:c r="F454" s="5" t="str">
        <x:v>其他网页</x:v>
      </x:c>
      <x:c r="G454" s="5" t="str">
        <x:v>否</x:v>
      </x:c>
      <x:c r="H454" s="5" t="str"/>
      <x:c r="I454" s="5" t="str">
        <x:v>自然</x:v>
      </x:c>
      <x:c r="J454" s="5" t="str">
        <x:v>未核实</x:v>
      </x:c>
    </x:row>
    <x:row r="455" ht="27" customHeight="1">
      <x:c r="A455" s="5" t="str">
        <x:v>元宝</x:v>
      </x:c>
      <x:c r="B455" s="5" t="str">
        <x:v>Q6</x:v>
      </x:c>
      <x:c r="C455" s="5" t="str">
        <x:v>蛋白质摄入量标准是多少</x:v>
      </x:c>
      <x:c r="D455" s="5" t="str">
        <x:v>https://zypt.mfk.com/ask/14474279.shtml</x:v>
      </x:c>
      <x:c r="E455" s="5" t="str">
        <x:v>zypt.mfk.com</x:v>
      </x:c>
      <x:c r="F455" s="5" t="str">
        <x:v>其他网页</x:v>
      </x:c>
      <x:c r="G455" s="5" t="str">
        <x:v>否</x:v>
      </x:c>
      <x:c r="H455" s="5" t="str"/>
      <x:c r="I455" s="5" t="str">
        <x:v>自然</x:v>
      </x:c>
      <x:c r="J455" s="5" t="str">
        <x:v>未核实</x:v>
      </x:c>
    </x:row>
    <x:row r="456" ht="27" customHeight="1">
      <x:c r="A456" s="5" t="str">
        <x:v>元宝</x:v>
      </x:c>
      <x:c r="B456" s="5" t="str">
        <x:v>Q6</x:v>
      </x:c>
      <x:c r="C456" s="5" t="str">
        <x:v>丁钢强:我国居民蛋白质摄入需科学均衡 倡导多元化膳食来源</x:v>
      </x:c>
      <x:c r="D456" s="5" t="str">
        <x:v>https://www.news.cn/food/20250515/f98a5ab177b74d1f8b5cd15d10de4280/c.html</x:v>
      </x:c>
      <x:c r="E456" s="5" t="str">
        <x:v>news.cn</x:v>
      </x:c>
      <x:c r="F456" s="5" t="str">
        <x:v>其他网页</x:v>
      </x:c>
      <x:c r="G456" s="5" t="str">
        <x:v>否</x:v>
      </x:c>
      <x:c r="H456" s="5" t="str"/>
      <x:c r="I456" s="5" t="str">
        <x:v>自然</x:v>
      </x:c>
      <x:c r="J456" s="5" t="str">
        <x:v>未核实</x:v>
      </x:c>
    </x:row>
    <x:row r="457" ht="27" customHeight="1">
      <x:c r="A457" s="5" t="str">
        <x:v>元宝</x:v>
      </x:c>
      <x:c r="B457" s="5" t="str">
        <x:v>Q6</x:v>
      </x:c>
      <x:c r="C457" s="5" t="str">
        <x:v>喝蛋白粉拉肚子怎么治疗</x:v>
      </x:c>
      <x:c r="D457" s="5" t="str">
        <x:v>https://mip.39yst.com/ask/13588680.shtml</x:v>
      </x:c>
      <x:c r="E457" s="5" t="str">
        <x:v>mip.39yst.com</x:v>
      </x:c>
      <x:c r="F457" s="5" t="str">
        <x:v>其他网页</x:v>
      </x:c>
      <x:c r="G457" s="5" t="str">
        <x:v>否</x:v>
      </x:c>
      <x:c r="H457" s="5" t="str"/>
      <x:c r="I457" s="5" t="str">
        <x:v>自然</x:v>
      </x:c>
      <x:c r="J457" s="5" t="str">
        <x:v>未核实</x:v>
      </x:c>
    </x:row>
    <x:row r="458" ht="27" customHeight="1">
      <x:c r="A458" s="5" t="str">
        <x:v>元宝</x:v>
      </x:c>
      <x:c r="B458" s="5" t="str">
        <x:v>Q6</x:v>
      </x:c>
      <x:c r="C458" s="5" t="str">
        <x:v>注意!这种“宝藏”蛋白质你可能吃少了</x:v>
      </x:c>
      <x:c r="D458" s="5" t="str">
        <x:v>https://www.peopleapp.com/column/30052444818-500007555836</x:v>
      </x:c>
      <x:c r="E458" s="5" t="str">
        <x:v>peopleapp.com</x:v>
      </x:c>
      <x:c r="F458" s="5" t="str">
        <x:v>其他网页</x:v>
      </x:c>
      <x:c r="G458" s="5" t="str">
        <x:v>否</x:v>
      </x:c>
      <x:c r="H458" s="5" t="str"/>
      <x:c r="I458" s="5" t="str">
        <x:v>自然</x:v>
      </x:c>
      <x:c r="J458" s="5" t="str">
        <x:v>未核实</x:v>
      </x:c>
    </x:row>
    <x:row r="459" ht="27" customHeight="1">
      <x:c r="A459" s="5" t="str">
        <x:v>元宝</x:v>
      </x:c>
      <x:c r="B459" s="5" t="str">
        <x:v>Q6</x:v>
      </x:c>
      <x:c r="C459" s="5" t="str">
        <x:v>食品安全消费提示:蛋白粉如何进补不踩坑</x:v>
      </x:c>
      <x:c r="D459" s="5" t="str">
        <x:v>https://www.ce.cn/cysc/sp/info/202606/t20260604_3008811.shtml</x:v>
      </x:c>
      <x:c r="E459" s="5" t="str">
        <x:v>ce.cn</x:v>
      </x:c>
      <x:c r="F459" s="5" t="str">
        <x:v>其他网页</x:v>
      </x:c>
      <x:c r="G459" s="5" t="str">
        <x:v>否</x:v>
      </x:c>
      <x:c r="H459" s="5" t="str"/>
      <x:c r="I459" s="5" t="str">
        <x:v>自然</x:v>
      </x:c>
      <x:c r="J459" s="5" t="str">
        <x:v>未核实</x:v>
      </x:c>
    </x:row>
    <x:row r="460" ht="27" customHeight="1">
      <x:c r="A460" s="5" t="str">
        <x:v>元宝</x:v>
      </x:c>
      <x:c r="B460" s="5" t="str">
        <x:v>Q6</x:v>
      </x:c>
      <x:c r="C460" s="5" t="str">
        <x:v>喝蛋白粉拉肚子还吃吗</x:v>
      </x:c>
      <x:c r="D460" s="5" t="str">
        <x:v>https://m.bohe.cn/article/liangyi/l3cbmwrlmk21tya.html</x:v>
      </x:c>
      <x:c r="E460" s="5" t="str">
        <x:v>bohe.cn</x:v>
      </x:c>
      <x:c r="F460" s="5" t="str">
        <x:v>其他网页</x:v>
      </x:c>
      <x:c r="G460" s="5" t="str">
        <x:v>否</x:v>
      </x:c>
      <x:c r="H460" s="5" t="str"/>
      <x:c r="I460" s="5" t="str">
        <x:v>自然</x:v>
      </x:c>
      <x:c r="J460" s="5" t="str">
        <x:v>未核实</x:v>
      </x:c>
    </x:row>
    <x:row r="461" ht="27" customHeight="1">
      <x:c r="A461" s="5" t="str">
        <x:v>元宝</x:v>
      </x:c>
      <x:c r="B461" s="5" t="str">
        <x:v>Q6</x:v>
      </x:c>
      <x:c r="C461" s="5" t="str">
        <x:v>别再盲目安排高蛋白饮食!蛋白质虽好,拿捏分寸感更重要</x:v>
      </x:c>
      <x:c r="D461" s="5" t="str">
        <x:v>https://m.gmw.cn/2026-05/25/content_1304469708.htm</x:v>
      </x:c>
      <x:c r="E461" s="5" t="str">
        <x:v>gmw.cn</x:v>
      </x:c>
      <x:c r="F461" s="5" t="str">
        <x:v>其他网页</x:v>
      </x:c>
      <x:c r="G461" s="5" t="str">
        <x:v>否</x:v>
      </x:c>
      <x:c r="H461" s="5" t="str"/>
      <x:c r="I461" s="5" t="str">
        <x:v>自然</x:v>
      </x:c>
      <x:c r="J461" s="5" t="str">
        <x:v>未核实</x:v>
      </x:c>
    </x:row>
    <x:row r="462" ht="27" customHeight="1">
      <x:c r="A462" s="5" t="str">
        <x:v>元宝</x:v>
      </x:c>
      <x:c r="B462" s="5" t="str">
        <x:v>Q6</x:v>
      </x:c>
      <x:c r="C462" s="5" t="str">
        <x:v>正常人需要补充蛋白粉吗?</x:v>
      </x:c>
      <x:c r="D462" s="5" t="str">
        <x:v>https://www.kepuchina.cn/article/articleinfo?business_type=100&amp;classify=0&amp;ar_id=463689</x:v>
      </x:c>
      <x:c r="E462" s="5" t="str">
        <x:v>kepuchina.cn</x:v>
      </x:c>
      <x:c r="F462" s="5" t="str">
        <x:v>其他网页</x:v>
      </x:c>
      <x:c r="G462" s="5" t="str">
        <x:v>否</x:v>
      </x:c>
      <x:c r="H462" s="5" t="str"/>
      <x:c r="I462" s="5" t="str">
        <x:v>自然</x:v>
      </x:c>
      <x:c r="J462" s="5" t="str">
        <x:v>未核实</x:v>
      </x:c>
    </x:row>
    <x:row r="463" ht="27" customHeight="1">
      <x:c r="A463" s="5" t="str">
        <x:v>元宝</x:v>
      </x:c>
      <x:c r="B463" s="5" t="str">
        <x:v>Q6</x:v>
      </x:c>
      <x:c r="C463" s="5" t="str">
        <x:v>吃蛋白粉拉肚子怎么办</x:v>
      </x:c>
      <x:c r="D463" s="5" t="str">
        <x:v>https://www.mfk.com/article/10805940.shtml</x:v>
      </x:c>
      <x:c r="E463" s="5" t="str">
        <x:v>mfk.com</x:v>
      </x:c>
      <x:c r="F463" s="5" t="str">
        <x:v>其他网页</x:v>
      </x:c>
      <x:c r="G463" s="5" t="str">
        <x:v>否</x:v>
      </x:c>
      <x:c r="H463" s="5" t="str"/>
      <x:c r="I463" s="5" t="str">
        <x:v>自然</x:v>
      </x:c>
      <x:c r="J463" s="5" t="str">
        <x:v>未核实</x:v>
      </x:c>
    </x:row>
    <x:row r="464" ht="27" customHeight="1">
      <x:c r="A464" s="5" t="str">
        <x:v>元宝</x:v>
      </x:c>
      <x:c r="B464" s="5" t="str">
        <x:v>Q6</x:v>
      </x:c>
      <x:c r="C464" s="5" t="str">
        <x:v>吃少了缺营养,吃多了伤肾,蛋白质到底该怎么吃?</x:v>
      </x:c>
      <x:c r="D464" s="5" t="str">
        <x:v>http://mp.weixin.qq.com/s?__biz=MzA3MzU2MzIwMg==&amp;mid=2650785414&amp;idx=1&amp;sn=867f34019275f58b70af23b712caa65b&amp;chksm=8668e946105795cfbad18828bb089fa254dca051f5d03d7340bed96266dced6970d0ea1caedd#rd</x:v>
      </x:c>
      <x:c r="E464" s="5" t="str">
        <x:v>mp.weixin.qq.com</x:v>
      </x:c>
      <x:c r="F464" s="5" t="str">
        <x:v>UGC/视频/公众号</x:v>
      </x:c>
      <x:c r="G464" s="5" t="str">
        <x:v>否</x:v>
      </x:c>
      <x:c r="H464" s="5" t="str"/>
      <x:c r="I464" s="5" t="str">
        <x:v>自然</x:v>
      </x:c>
      <x:c r="J464" s="5" t="str">
        <x:v>未核实</x:v>
      </x:c>
    </x:row>
    <x:row r="465" ht="27" customHeight="1">
      <x:c r="A465" s="5" t="str">
        <x:v>元宝</x:v>
      </x:c>
      <x:c r="B465" s="5" t="str">
        <x:v>Q6</x:v>
      </x:c>
      <x:c r="C465" s="5" t="str">
        <x:v>喝了蛋白粉肚子胀气怎么办</x:v>
      </x:c>
      <x:c r="D465" s="5" t="str">
        <x:v>https://www.bohe.cn/ask/view/104608707.html</x:v>
      </x:c>
      <x:c r="E465" s="5" t="str">
        <x:v>bohe.cn</x:v>
      </x:c>
      <x:c r="F465" s="5" t="str">
        <x:v>其他网页</x:v>
      </x:c>
      <x:c r="G465" s="5" t="str">
        <x:v>否</x:v>
      </x:c>
      <x:c r="H465" s="5" t="str"/>
      <x:c r="I465" s="5" t="str">
        <x:v>自然</x:v>
      </x:c>
      <x:c r="J465" s="5" t="str">
        <x:v>未核实</x:v>
      </x:c>
    </x:row>
    <x:row r="466" ht="27" customHeight="1">
      <x:c r="A466" s="5" t="str">
        <x:v>元宝</x:v>
      </x:c>
      <x:c r="B466" s="5" t="str">
        <x:v>Q7</x:v>
      </x:c>
      <x:c r="C466" s="5" t="str">
        <x:v>好的蛋白粉品牌 2026年蛋白粉怎么选高纯度·易吸收·低脂低卡·怕踩坑新手必看</x:v>
      </x:c>
      <x:c r="D466" s="5" t="str">
        <x:v>https://www.huainannet.com/content.asp?id=181440</x:v>
      </x:c>
      <x:c r="E466" s="5" t="str">
        <x:v>huainannet.com</x:v>
      </x:c>
      <x:c r="F466" s="5" t="str">
        <x:v>其他网页</x:v>
      </x:c>
      <x:c r="G466" s="5" t="str">
        <x:v>否</x:v>
      </x:c>
      <x:c r="H466" s="5" t="str"/>
      <x:c r="I466" s="5" t="str">
        <x:v>自然</x:v>
      </x:c>
      <x:c r="J466" s="5" t="str">
        <x:v>未核实</x:v>
      </x:c>
    </x:row>
    <x:row r="467" ht="27" customHeight="1">
      <x:c r="A467" s="5" t="str">
        <x:v>元宝</x:v>
      </x:c>
      <x:c r="B467" s="5" t="str">
        <x:v>Q7</x:v>
      </x:c>
      <x:c r="C467" s="5" t="str">
        <x:v>食品安全消费提示:蛋白粉如何进补不踩坑</x:v>
      </x:c>
      <x:c r="D467" s="5" t="str">
        <x:v>https://www.cnr.cn/food/jdt/20260604/t20260604_527647431.shtml</x:v>
      </x:c>
      <x:c r="E467" s="5" t="str">
        <x:v>cnr.cn</x:v>
      </x:c>
      <x:c r="F467" s="5" t="str">
        <x:v>其他网页</x:v>
      </x:c>
      <x:c r="G467" s="5" t="str">
        <x:v>否</x:v>
      </x:c>
      <x:c r="H467" s="5" t="str"/>
      <x:c r="I467" s="5" t="str">
        <x:v>自然</x:v>
      </x:c>
      <x:c r="J467" s="5" t="str">
        <x:v>未核实</x:v>
      </x:c>
    </x:row>
    <x:row r="468" ht="27" customHeight="1">
      <x:c r="A468" s="5" t="str">
        <x:v>元宝</x:v>
      </x:c>
      <x:c r="B468" s="5" t="str">
        <x:v>Q7</x:v>
      </x:c>
      <x:c r="C468" s="5" t="str">
        <x:v>健身吃什么蛋白粉好</x:v>
      </x:c>
      <x:c r="D468" s="5" t="str">
        <x:v>https://www.pingguolv.com/ask/HnFK77IKHI77.html</x:v>
      </x:c>
      <x:c r="E468" s="5" t="str">
        <x:v>pingguolv.com</x:v>
      </x:c>
      <x:c r="F468" s="5" t="str">
        <x:v>其他网页</x:v>
      </x:c>
      <x:c r="G468" s="5" t="str">
        <x:v>否</x:v>
      </x:c>
      <x:c r="H468" s="5" t="str"/>
      <x:c r="I468" s="5" t="str">
        <x:v>自然</x:v>
      </x:c>
      <x:c r="J468" s="5" t="str">
        <x:v>未核实</x:v>
      </x:c>
    </x:row>
    <x:row r="469" ht="27" customHeight="1">
      <x:c r="A469" s="5" t="str">
        <x:v>元宝</x:v>
      </x:c>
      <x:c r="B469" s="5" t="str">
        <x:v>Q7</x:v>
      </x:c>
      <x:c r="C469" s="5" t="str">
        <x:v>International society of sports nutrition position stand: nutrient timing - Journal of the International Society of Sports Nutrition</x:v>
      </x:c>
      <x:c r="D469" s="5" t="str">
        <x:v>https://link.springer.com/article/10.1186/s12970-017-0189-4</x:v>
      </x:c>
      <x:c r="E469" s="5" t="str">
        <x:v>link.springer.com</x:v>
      </x:c>
      <x:c r="F469" s="5" t="str">
        <x:v>学术研究</x:v>
      </x:c>
      <x:c r="G469" s="5" t="str">
        <x:v>否</x:v>
      </x:c>
      <x:c r="H469" s="5" t="str"/>
      <x:c r="I469" s="5" t="str">
        <x:v>自然</x:v>
      </x:c>
      <x:c r="J469" s="5" t="str">
        <x:v>未核实</x:v>
      </x:c>
    </x:row>
    <x:row r="470" ht="27" customHeight="1">
      <x:c r="A470" s="5" t="str">
        <x:v>元宝</x:v>
      </x:c>
      <x:c r="B470" s="5" t="str">
        <x:v>Q7</x:v>
      </x:c>
      <x:c r="C470" s="5" t="str">
        <x:v>产品宣传打“擦边球” 蛋白粉市场有待规范</x:v>
      </x:c>
      <x:c r="D470" s="5" t="str">
        <x:v>https://www.legaldaily.com.cn/Food_Safety/content/2022-11/30/content_8807172.html</x:v>
      </x:c>
      <x:c r="E470" s="5" t="str">
        <x:v>legaldaily.com.cn</x:v>
      </x:c>
      <x:c r="F470" s="5" t="str">
        <x:v>其他网页</x:v>
      </x:c>
      <x:c r="G470" s="5" t="str">
        <x:v>否</x:v>
      </x:c>
      <x:c r="H470" s="5" t="str"/>
      <x:c r="I470" s="5" t="str">
        <x:v>自然</x:v>
      </x:c>
      <x:c r="J470" s="5" t="str">
        <x:v>未核实</x:v>
      </x:c>
    </x:row>
    <x:row r="471" ht="27" customHeight="1">
      <x:c r="A471" s="5" t="str">
        <x:v>元宝</x:v>
      </x:c>
      <x:c r="B471" s="5" t="str">
        <x:v>Q7</x:v>
      </x:c>
      <x:c r="C471" s="5" t="str">
        <x:v>蛋白粉新手怎么选?一篇搞懂健身蛋白粉入门指南</x:v>
      </x:c>
      <x:c r="D471" s="5" t="str">
        <x:v>https://workoutingym.com/zh/articles/protein-powder-for-beginners-how-to-choose</x:v>
      </x:c>
      <x:c r="E471" s="5" t="str">
        <x:v>workoutingym.com</x:v>
      </x:c>
      <x:c r="F471" s="5" t="str">
        <x:v>其他网页</x:v>
      </x:c>
      <x:c r="G471" s="5" t="str">
        <x:v>否</x:v>
      </x:c>
      <x:c r="H471" s="5" t="str"/>
      <x:c r="I471" s="5" t="str">
        <x:v>自然</x:v>
      </x:c>
      <x:c r="J471" s="5" t="str">
        <x:v>未核实</x:v>
      </x:c>
    </x:row>
    <x:row r="472" ht="27" customHeight="1">
      <x:c r="A472" s="5" t="str">
        <x:v>元宝</x:v>
      </x:c>
      <x:c r="B472" s="5" t="str">
        <x:v>Q7</x:v>
      </x:c>
      <x:c r="C472" s="5" t="str">
        <x:v>健身补蛋白补错反而伤身体?很多人都搞错了</x:v>
      </x:c>
      <x:c r="D472" s="5" t="str">
        <x:v>http://mp.weixin.qq.com/s?__biz=MzkwMTE4NTczMQ==&amp;mid=2247502428&amp;idx=6&amp;sn=a04ed67873300da4577441f0b0707a72&amp;chksm=c1ef288553d480af259cb0456495b512f7c5f6eee1c0af3cecc8881bd347df861d2c454bad7c#rd</x:v>
      </x:c>
      <x:c r="E472" s="5" t="str">
        <x:v>mp.weixin.qq.com</x:v>
      </x:c>
      <x:c r="F472" s="5" t="str">
        <x:v>UGC/视频/公众号</x:v>
      </x:c>
      <x:c r="G472" s="5" t="str">
        <x:v>否</x:v>
      </x:c>
      <x:c r="H472" s="5" t="str"/>
      <x:c r="I472" s="5" t="str">
        <x:v>自然</x:v>
      </x:c>
      <x:c r="J472" s="5" t="str">
        <x:v>未核实</x:v>
      </x:c>
    </x:row>
    <x:row r="473" ht="27" customHeight="1">
      <x:c r="A473" s="5" t="str">
        <x:v>元宝</x:v>
      </x:c>
      <x:c r="B473" s="5" t="str">
        <x:v>Q7</x:v>
      </x:c>
      <x:c r="C473" s="5" t="str">
        <x:v>市场监管总局关于加强固体饮料质量安全监管的公告</x:v>
      </x:c>
      <x:c r="D473" s="5" t="str">
        <x:v>https://www.samr.gov.cn/cms_files/filemanager/1647978232/attach/20239/6d2163eaf5574d81aa2b208cb77743a0.pdf</x:v>
      </x:c>
      <x:c r="E473" s="5" t="str">
        <x:v>samr.gov.cn</x:v>
      </x:c>
      <x:c r="F473" s="5" t="str">
        <x:v>官方机构</x:v>
      </x:c>
      <x:c r="G473" s="5" t="str">
        <x:v>否</x:v>
      </x:c>
      <x:c r="H473" s="5" t="str"/>
      <x:c r="I473" s="5" t="str">
        <x:v>自然</x:v>
      </x:c>
      <x:c r="J473" s="5" t="str">
        <x:v>未核实</x:v>
      </x:c>
    </x:row>
    <x:row r="474" ht="27" customHeight="1">
      <x:c r="A474" s="5" t="str">
        <x:v>元宝</x:v>
      </x:c>
      <x:c r="B474" s="5" t="str">
        <x:v>Q7</x:v>
      </x:c>
      <x:c r="C474" s="5" t="str">
        <x:v>不同健身人群怎么选蛋白粉?FoYes类型匹配不踩坑</x:v>
      </x:c>
      <x:c r="D474" s="5" t="str">
        <x:v>https://www.cet.com.cn/wzsy/kjzx/cygdzx/10482339.shtml</x:v>
      </x:c>
      <x:c r="E474" s="5" t="str">
        <x:v>cet.com.cn</x:v>
      </x:c>
      <x:c r="F474" s="5" t="str">
        <x:v>综合媒体/转载</x:v>
      </x:c>
      <x:c r="G474" s="5" t="str">
        <x:v>否</x:v>
      </x:c>
      <x:c r="H474" s="5" t="str"/>
      <x:c r="I474" s="5" t="str">
        <x:v>自然</x:v>
      </x:c>
      <x:c r="J474" s="5" t="str">
        <x:v>未核实</x:v>
      </x:c>
    </x:row>
    <x:row r="475" ht="27" customHeight="1">
      <x:c r="A475" s="5" t="str">
        <x:v>元宝</x:v>
      </x:c>
      <x:c r="B475" s="5" t="str">
        <x:v>Q7</x:v>
      </x:c>
      <x:c r="C475" s="5" t="str">
        <x:v>运动后黄金修复期,蛋白补对了效果事半功倍</x:v>
      </x:c>
      <x:c r="D475" s="5" t="str">
        <x:v>https://m.toutiao.com/article/7644020101741691433</x:v>
      </x:c>
      <x:c r="E475" s="5" t="str">
        <x:v>toutiao.com</x:v>
      </x:c>
      <x:c r="F475" s="5" t="str">
        <x:v>UGC/视频/公众号</x:v>
      </x:c>
      <x:c r="G475" s="5" t="str">
        <x:v>否</x:v>
      </x:c>
      <x:c r="H475" s="5" t="str"/>
      <x:c r="I475" s="5" t="str">
        <x:v>自然</x:v>
      </x:c>
      <x:c r="J475" s="5" t="str">
        <x:v>未核实</x:v>
      </x:c>
    </x:row>
    <x:row r="476" ht="27" customHeight="1">
      <x:c r="A476" s="5" t="str">
        <x:v>元宝</x:v>
      </x:c>
      <x:c r="B476" s="5" t="str">
        <x:v>Q7</x:v>
      </x:c>
      <x:c r="C476" s="5" t="str">
        <x:v>关于“网红食品”的消费提示</x:v>
      </x:c>
      <x:c r="D476" s="5" t="str">
        <x:v>http://www.aysc.gov.cn/ayxrmzf/jg/pc/content/content_2082765606458421248.html</x:v>
      </x:c>
      <x:c r="E476" s="5" t="str">
        <x:v>aysc.gov.cn</x:v>
      </x:c>
      <x:c r="F476" s="5" t="str">
        <x:v>官方机构</x:v>
      </x:c>
      <x:c r="G476" s="5" t="str">
        <x:v>否</x:v>
      </x:c>
      <x:c r="H476" s="5" t="str"/>
      <x:c r="I476" s="5" t="str">
        <x:v>自然</x:v>
      </x:c>
      <x:c r="J476" s="5" t="str">
        <x:v>未核实</x:v>
      </x:c>
    </x:row>
    <x:row r="477" ht="27" customHeight="1">
      <x:c r="A477" s="5" t="str">
        <x:v>元宝</x:v>
      </x:c>
      <x:c r="B477" s="5" t="str">
        <x:v>Q7</x:v>
      </x:c>
      <x:c r="C477" s="5" t="str">
        <x:v>促进肌肉生长的蛋白质摄入标准是多少</x:v>
      </x:c>
      <x:c r="D477" s="5" t="str">
        <x:v>https://m.jiusongjiankang.com/health/shengzhi/10776806.html</x:v>
      </x:c>
      <x:c r="E477" s="5" t="str">
        <x:v>jiusongjiankang.com</x:v>
      </x:c>
      <x:c r="F477" s="5" t="str">
        <x:v>其他网页</x:v>
      </x:c>
      <x:c r="G477" s="5" t="str">
        <x:v>否</x:v>
      </x:c>
      <x:c r="H477" s="5" t="str"/>
      <x:c r="I477" s="5" t="str">
        <x:v>自然</x:v>
      </x:c>
      <x:c r="J477" s="5" t="str">
        <x:v>未核实</x:v>
      </x:c>
    </x:row>
    <x:row r="478" ht="27" customHeight="1">
      <x:c r="A478" s="5" t="str">
        <x:v>元宝</x:v>
      </x:c>
      <x:c r="B478" s="5" t="str">
        <x:v>Q7</x:v>
      </x:c>
      <x:c r="C478" s="5" t="str">
        <x:v>卖点五花八门的蛋白粉,该如何选择?专家告诉你</x:v>
      </x:c>
      <x:c r="D478" s="5" t="str">
        <x:v>https://www.sohu.com/a/508763412_162758</x:v>
      </x:c>
      <x:c r="E478" s="5" t="str">
        <x:v>sohu.com</x:v>
      </x:c>
      <x:c r="F478" s="5" t="str">
        <x:v>综合媒体/转载</x:v>
      </x:c>
      <x:c r="G478" s="5" t="str">
        <x:v>否</x:v>
      </x:c>
      <x:c r="H478" s="5" t="str"/>
      <x:c r="I478" s="5" t="str">
        <x:v>自然</x:v>
      </x:c>
      <x:c r="J478" s="5" t="str">
        <x:v>未核实</x:v>
      </x:c>
    </x:row>
    <x:row r="479" ht="27" customHeight="1">
      <x:c r="A479" s="5" t="str">
        <x:v>元宝</x:v>
      </x:c>
      <x:c r="B479" s="5" t="str">
        <x:v>Q7</x:v>
      </x:c>
      <x:c r="C479" s="5" t="str">
        <x:v>不同类型蛋白粉怎么选?乳清､分离､水解､酪蛋白､植物蛋白介绍</x:v>
      </x:c>
      <x:c r="D479" s="5" t="str">
        <x:v>https://m.zgxy.gov.cn/p/150154.html</x:v>
      </x:c>
      <x:c r="E479" s="5" t="str">
        <x:v>zgxy.gov.cn</x:v>
      </x:c>
      <x:c r="F479" s="5" t="str">
        <x:v>官方机构</x:v>
      </x:c>
      <x:c r="G479" s="5" t="str">
        <x:v>否</x:v>
      </x:c>
      <x:c r="H479" s="5" t="str"/>
      <x:c r="I479" s="5" t="str">
        <x:v>自然</x:v>
      </x:c>
      <x:c r="J479" s="5" t="str">
        <x:v>未核实</x:v>
      </x:c>
    </x:row>
    <x:row r="480" ht="27" customHeight="1">
      <x:c r="A480" s="5" t="str">
        <x:v>元宝</x:v>
      </x:c>
      <x:c r="B480" s="5" t="str">
        <x:v>Q7</x:v>
      </x:c>
      <x:c r="C480" s="5" t="str">
        <x:v>增肌需要吃多少蛋白质</x:v>
      </x:c>
      <x:c r="D480" s="5" t="str">
        <x:v>https://health.baidu.com/m/detail/ar_6232912608195332275</x:v>
      </x:c>
      <x:c r="E480" s="5" t="str">
        <x:v>health.baidu.com</x:v>
      </x:c>
      <x:c r="F480" s="5" t="str">
        <x:v>其他网页</x:v>
      </x:c>
      <x:c r="G480" s="5" t="str">
        <x:v>否</x:v>
      </x:c>
      <x:c r="H480" s="5" t="str"/>
      <x:c r="I480" s="5" t="str">
        <x:v>自然</x:v>
      </x:c>
      <x:c r="J480" s="5" t="str">
        <x:v>未核实</x:v>
      </x:c>
    </x:row>
    <x:row r="481" ht="27" customHeight="1">
      <x:c r="A481" s="5" t="str">
        <x:v>元宝</x:v>
      </x:c>
      <x:c r="B481" s="5" t="str">
        <x:v>Q7</x:v>
      </x:c>
      <x:c r="C481" s="5" t="str">
        <x:v>固体饮料消费提示</x:v>
      </x:c>
      <x:c r="D481" s="5" t="str">
        <x:v>https://www.samr.gov.cn/spcjs/yjjl/art/2020/art_0536cb0d9f00426eb47d49a75a3e23d8.html</x:v>
      </x:c>
      <x:c r="E481" s="5" t="str">
        <x:v>samr.gov.cn</x:v>
      </x:c>
      <x:c r="F481" s="5" t="str">
        <x:v>官方机构</x:v>
      </x:c>
      <x:c r="G481" s="5" t="str">
        <x:v>否</x:v>
      </x:c>
      <x:c r="H481" s="5" t="str"/>
      <x:c r="I481" s="5" t="str">
        <x:v>自然</x:v>
      </x:c>
      <x:c r="J481" s="5" t="str">
        <x:v>未核实</x:v>
      </x:c>
    </x:row>
    <x:row r="482" ht="27" customHeight="1">
      <x:c r="A482" s="5" t="str">
        <x:v>元宝</x:v>
      </x:c>
      <x:c r="B482" s="5" t="str">
        <x:v>Q7</x:v>
      </x:c>
      <x:c r="C482" s="5" t="str">
        <x:v>健身吃什么蛋白粉</x:v>
      </x:c>
      <x:c r="D482" s="5" t="str">
        <x:v>https://www.pingguolv.com/ask/b613DD1PRDy0.html</x:v>
      </x:c>
      <x:c r="E482" s="5" t="str">
        <x:v>pingguolv.com</x:v>
      </x:c>
      <x:c r="F482" s="5" t="str">
        <x:v>其他网页</x:v>
      </x:c>
      <x:c r="G482" s="5" t="str">
        <x:v>否</x:v>
      </x:c>
      <x:c r="H482" s="5" t="str"/>
      <x:c r="I482" s="5" t="str">
        <x:v>自然</x:v>
      </x:c>
      <x:c r="J482" s="5" t="str">
        <x:v>未核实</x:v>
      </x:c>
    </x:row>
    <x:row r="483" ht="27" customHeight="1">
      <x:c r="A483" s="5" t="str">
        <x:v>元宝</x:v>
      </x:c>
      <x:c r="B483" s="5" t="str">
        <x:v>Q7</x:v>
      </x:c>
      <x:c r="C483" s="5" t="str">
        <x:v>市监知识丨舌尖上的安全,蛋白粉的消费提示</x:v>
      </x:c>
      <x:c r="D483" s="5" t="str">
        <x:v>http://mp.weixin.qq.com/s?__biz=MzA4MzgxMjU1MA==&amp;mid=2650981187&amp;idx=2&amp;sn=a826c1de6a82623950f1d2ac7ef332e0&amp;chksm=85dc2ce161b26df2a5ea05c25137bdb4e74a705925c7c791611dcf9f23f677b48e6ea34a985a#rd</x:v>
      </x:c>
      <x:c r="E483" s="5" t="str">
        <x:v>mp.weixin.qq.com</x:v>
      </x:c>
      <x:c r="F483" s="5" t="str">
        <x:v>UGC/视频/公众号</x:v>
      </x:c>
      <x:c r="G483" s="5" t="str">
        <x:v>否</x:v>
      </x:c>
      <x:c r="H483" s="5" t="str"/>
      <x:c r="I483" s="5" t="str">
        <x:v>自然</x:v>
      </x:c>
      <x:c r="J483" s="5" t="str">
        <x:v>未核实</x:v>
      </x:c>
    </x:row>
    <x:row r="484" ht="27" customHeight="1">
      <x:c r="A484" s="5" t="str">
        <x:v>元宝</x:v>
      </x:c>
      <x:c r="B484" s="5" t="str">
        <x:v>Q7</x:v>
      </x:c>
      <x:c r="C484" s="5" t="str">
        <x:v>健身新手怎么选择蛋白粉?先把五个问题想清楚再下单</x:v>
      </x:c>
      <x:c r="D484" s="5" t="str">
        <x:v>http://mp.weixin.qq.com/s?__biz=Mzk0Mzc4Nzk4NA==&amp;mid=2247486444&amp;idx=1&amp;sn=371749613b0867e397324bcce0cced0d&amp;chksm=c2cb0b724c4a2a61ea5a6023b41dea0d53545c3fc4f9fac5130a69554f6cf68e2639f8979c03#rd</x:v>
      </x:c>
      <x:c r="E484" s="5" t="str">
        <x:v>mp.weixin.qq.com</x:v>
      </x:c>
      <x:c r="F484" s="5" t="str">
        <x:v>UGC/视频/公众号</x:v>
      </x:c>
      <x:c r="G484" s="5" t="str">
        <x:v>否</x:v>
      </x:c>
      <x:c r="H484" s="5" t="str"/>
      <x:c r="I484" s="5" t="str">
        <x:v>自然</x:v>
      </x:c>
      <x:c r="J484" s="5" t="str">
        <x:v>未核实</x:v>
      </x:c>
    </x:row>
    <x:row r="485" ht="27" customHeight="1">
      <x:c r="A485" s="5" t="str">
        <x:v>元宝</x:v>
      </x:c>
      <x:c r="B485" s="5" t="str">
        <x:v>Q8</x:v>
      </x:c>
      <x:c r="C485" s="5" t="str">
        <x:v>营养增肌吃什么蛋白粉好</x:v>
      </x:c>
      <x:c r="D485" s="5" t="str">
        <x:v>https://health.baidu.com/m/detail/ar_6392779112245406888</x:v>
      </x:c>
      <x:c r="E485" s="5" t="str">
        <x:v>health.baidu.com</x:v>
      </x:c>
      <x:c r="F485" s="5" t="str">
        <x:v>其他网页</x:v>
      </x:c>
      <x:c r="G485" s="5" t="str">
        <x:v>否</x:v>
      </x:c>
      <x:c r="H485" s="5" t="str"/>
      <x:c r="I485" s="5" t="str">
        <x:v>自然</x:v>
      </x:c>
      <x:c r="J485" s="5" t="str">
        <x:v>未核实</x:v>
      </x:c>
    </x:row>
    <x:row r="486" ht="27" customHeight="1">
      <x:c r="A486" s="5" t="str">
        <x:v>元宝</x:v>
      </x:c>
      <x:c r="B486" s="5" t="str">
        <x:v>Q8</x:v>
      </x:c>
      <x:c r="C486" s="5" t="str">
        <x:v>分离,浓缩,水解这三种乳清蛋白有何区别</x:v>
      </x:c>
      <x:c r="D486" s="5" t="str">
        <x:v>https://health.baidu.com/m/detail/ar_6546941354119745592</x:v>
      </x:c>
      <x:c r="E486" s="5" t="str">
        <x:v>health.baidu.com</x:v>
      </x:c>
      <x:c r="F486" s="5" t="str">
        <x:v>其他网页</x:v>
      </x:c>
      <x:c r="G486" s="5" t="str">
        <x:v>否</x:v>
      </x:c>
      <x:c r="H486" s="5" t="str"/>
      <x:c r="I486" s="5" t="str">
        <x:v>自然</x:v>
      </x:c>
      <x:c r="J486" s="5" t="str">
        <x:v>未核实</x:v>
      </x:c>
    </x:row>
    <x:row r="487" ht="27" customHeight="1">
      <x:c r="A487" s="5" t="str">
        <x:v>元宝</x:v>
      </x:c>
      <x:c r="B487" s="5" t="str">
        <x:v>Q8</x:v>
      </x:c>
      <x:c r="C487" s="5" t="str">
        <x:v>增肌减脂必看:每天该吃多少蛋白质?蛋白粉是 “必需品” 吗?</x:v>
      </x:c>
      <x:c r="D487" s="5" t="str">
        <x:v>http://mp.weixin.qq.com/s?__biz=MzkzNDg3OTk0MQ==&amp;mid=2247493903&amp;idx=1&amp;sn=80c0613f4a81e64dde79d5098aba7bcc&amp;chksm=c3fd2d54a6164abdf4c84bd87abed35db849fd5e3c57e79b8e1d57acb05048697ba27a3714e1#rd</x:v>
      </x:c>
      <x:c r="E487" s="5" t="str">
        <x:v>mp.weixin.qq.com</x:v>
      </x:c>
      <x:c r="F487" s="5" t="str">
        <x:v>UGC/视频/公众号</x:v>
      </x:c>
      <x:c r="G487" s="5" t="str">
        <x:v>否</x:v>
      </x:c>
      <x:c r="H487" s="5" t="str"/>
      <x:c r="I487" s="5" t="str">
        <x:v>自然</x:v>
      </x:c>
      <x:c r="J487" s="5" t="str">
        <x:v>未核实</x:v>
      </x:c>
    </x:row>
    <x:row r="488" ht="27" customHeight="1">
      <x:c r="A488" s="5" t="str">
        <x:v>元宝</x:v>
      </x:c>
      <x:c r="B488" s="5" t="str">
        <x:v>Q8</x:v>
      </x:c>
      <x:c r="C488" s="5" t="str">
        <x:v>国际运动营养学会立场声明:蛋白质与运动</x:v>
      </x:c>
      <x:c r="D488" s="5" t="str">
        <x:v>http://mp.weixin.qq.com/s?__biz=MzU2MDcyMTcxOA==&amp;mid=2247487508&amp;idx=1&amp;sn=69a7a42a1831123f176cb6a742e55b19&amp;chksm=fd342c27c9c666256e9812272f032c6ba6362010c565f7265c512db2091c9c40e9e11df16e7b#rd</x:v>
      </x:c>
      <x:c r="E488" s="5" t="str">
        <x:v>mp.weixin.qq.com</x:v>
      </x:c>
      <x:c r="F488" s="5" t="str">
        <x:v>UGC/视频/公众号</x:v>
      </x:c>
      <x:c r="G488" s="5" t="str">
        <x:v>否</x:v>
      </x:c>
      <x:c r="H488" s="5" t="str"/>
      <x:c r="I488" s="5" t="str">
        <x:v>自然</x:v>
      </x:c>
      <x:c r="J488" s="5" t="str">
        <x:v>未核实</x:v>
      </x:c>
    </x:row>
    <x:row r="489" ht="27" customHeight="1">
      <x:c r="A489" s="5" t="str">
        <x:v>元宝</x:v>
      </x:c>
      <x:c r="B489" s="5" t="str">
        <x:v>Q8</x:v>
      </x:c>
      <x:c r="C489" s="5" t="str">
        <x:v>什麼是乳清蛋白?分離式､濃縮式､水解式差別與常見迷思破解</x:v>
      </x:c>
      <x:c r="D489" s="5" t="str">
        <x:v>https://www.allin.taipei/zh-TW/blogs/concept/186164</x:v>
      </x:c>
      <x:c r="E489" s="5" t="str">
        <x:v>allin.taipei</x:v>
      </x:c>
      <x:c r="F489" s="5" t="str">
        <x:v>其他网页</x:v>
      </x:c>
      <x:c r="G489" s="5" t="str">
        <x:v>否</x:v>
      </x:c>
      <x:c r="H489" s="5" t="str"/>
      <x:c r="I489" s="5" t="str">
        <x:v>自然</x:v>
      </x:c>
      <x:c r="J489" s="5" t="str">
        <x:v>未核实</x:v>
      </x:c>
    </x:row>
    <x:row r="490" ht="27" customHeight="1">
      <x:c r="A490" s="5" t="str">
        <x:v>元宝</x:v>
      </x:c>
      <x:c r="B490" s="5" t="str">
        <x:v>Q8</x:v>
      </x:c>
      <x:c r="C490" s="5" t="str">
        <x:v>增肌期一天吃多少蛋白质</x:v>
      </x:c>
      <x:c r="D490" s="5" t="str">
        <x:v>https://m.bohe.cn/zxmip/1534560.html</x:v>
      </x:c>
      <x:c r="E490" s="5" t="str">
        <x:v>bohe.cn</x:v>
      </x:c>
      <x:c r="F490" s="5" t="str">
        <x:v>其他网页</x:v>
      </x:c>
      <x:c r="G490" s="5" t="str">
        <x:v>否</x:v>
      </x:c>
      <x:c r="H490" s="5" t="str"/>
      <x:c r="I490" s="5" t="str">
        <x:v>自然</x:v>
      </x:c>
      <x:c r="J490" s="5" t="str">
        <x:v>未核实</x:v>
      </x:c>
    </x:row>
    <x:row r="491" ht="27" customHeight="1">
      <x:c r="A491" s="5" t="str">
        <x:v>元宝</x:v>
      </x:c>
      <x:c r="B491" s="5" t="str">
        <x:v>Q8</x:v>
      </x:c>
      <x:c r="C491" s="5" t="str">
        <x:v>ISSN立场:必需氨基酸(EAA)对骨骼肌和表现的影响</x:v>
      </x:c>
      <x:c r="D491" s="5" t="str">
        <x:v>http://mp.weixin.qq.com/s?__biz=MzU5MTY2MDA0Nw==&amp;mid=2247509689&amp;idx=1&amp;sn=7b7f02b19912e0c5873155cf0d1eca09&amp;chksm=ff4dbcbd2633951663f0914b445e7365146a79471de92087f1a494f03c1799c884b1843fbee9#rd</x:v>
      </x:c>
      <x:c r="E491" s="5" t="str">
        <x:v>mp.weixin.qq.com</x:v>
      </x:c>
      <x:c r="F491" s="5" t="str">
        <x:v>UGC/视频/公众号</x:v>
      </x:c>
      <x:c r="G491" s="5" t="str">
        <x:v>否</x:v>
      </x:c>
      <x:c r="H491" s="5" t="str"/>
      <x:c r="I491" s="5" t="str">
        <x:v>自然</x:v>
      </x:c>
      <x:c r="J491" s="5" t="str">
        <x:v>未核实</x:v>
      </x:c>
    </x:row>
    <x:row r="492" ht="27" customHeight="1">
      <x:c r="A492" s="5" t="str">
        <x:v>元宝</x:v>
      </x:c>
      <x:c r="B492" s="5" t="str">
        <x:v>Q8</x:v>
      </x:c>
      <x:c r="C492" s="5" t="str">
        <x:v>医聊 秒懂饮食:补充蛋白质的乳清蛋白粉,该如何挑选?</x:v>
      </x:c>
      <x:c r="D492" s="5" t="str">
        <x:v>http://mp.weixin.qq.com/s?src=11&amp;timestamp=1790580749&amp;ver=6993&amp;signature=VoBRfN6sOBVkNVmrUYyabMoiczCL3EsK7Rd5VnZE-pI84MNblxgiIxO4sJrtyScA3-ksULQWU68VzwlU0GYr*Q4L5g3TTG04AvKCG5uIfnrcXQ*iBazjaKOtjX8CNt08&amp;new=1</x:v>
      </x:c>
      <x:c r="E492" s="5" t="str">
        <x:v>mp.weixin.qq.com</x:v>
      </x:c>
      <x:c r="F492" s="5" t="str">
        <x:v>UGC/视频/公众号</x:v>
      </x:c>
      <x:c r="G492" s="5" t="str">
        <x:v>否</x:v>
      </x:c>
      <x:c r="H492" s="5" t="str"/>
      <x:c r="I492" s="5" t="str">
        <x:v>自然</x:v>
      </x:c>
      <x:c r="J492" s="5" t="str">
        <x:v>未核实</x:v>
      </x:c>
    </x:row>
    <x:row r="493" ht="27" customHeight="1">
      <x:c r="A493" s="5" t="str">
        <x:v>元宝</x:v>
      </x:c>
      <x:c r="B493" s="5" t="str">
        <x:v>Q8</x:v>
      </x:c>
      <x:c r="C493" s="5" t="str">
        <x:v>增肌蛋白質完全指南:每天該吃多少､吃什麼､何時吃最有效?</x:v>
      </x:c>
      <x:c r="D493" s="5" t="str">
        <x:v>https://nutruelifegood.com/?p=10117/</x:v>
      </x:c>
      <x:c r="E493" s="5" t="str">
        <x:v>nutruelifegood.com</x:v>
      </x:c>
      <x:c r="F493" s="5" t="str">
        <x:v>其他网页</x:v>
      </x:c>
      <x:c r="G493" s="5" t="str">
        <x:v>否</x:v>
      </x:c>
      <x:c r="H493" s="5" t="str"/>
      <x:c r="I493" s="5" t="str">
        <x:v>自然</x:v>
      </x:c>
      <x:c r="J493" s="5" t="str">
        <x:v>未核实</x:v>
      </x:c>
    </x:row>
    <x:row r="494" ht="27" customHeight="1">
      <x:c r="A494" s="5" t="str">
        <x:v>元宝</x:v>
      </x:c>
      <x:c r="B494" s="5" t="str">
        <x:v>Q8</x:v>
      </x:c>
      <x:c r="C494" s="5" t="str">
        <x:v>每天需要多少蛋白質?科學建議與計算方法</x:v>
      </x:c>
      <x:c r="D494" s="5" t="str">
        <x:v>https://winsportsus.com/zh/guides/how-much-protein-per-day</x:v>
      </x:c>
      <x:c r="E494" s="5" t="str">
        <x:v>winsportsus.com</x:v>
      </x:c>
      <x:c r="F494" s="5" t="str">
        <x:v>其他网页</x:v>
      </x:c>
      <x:c r="G494" s="5" t="str">
        <x:v>否</x:v>
      </x:c>
      <x:c r="H494" s="5" t="str"/>
      <x:c r="I494" s="5" t="str">
        <x:v>自然</x:v>
      </x:c>
      <x:c r="J494" s="5" t="str">
        <x:v>未核实</x:v>
      </x:c>
    </x:row>
    <x:row r="495" ht="27" customHeight="1">
      <x:c r="A495" s="5" t="str">
        <x:v>元宝</x:v>
      </x:c>
      <x:c r="B495" s="5" t="str">
        <x:v>Q8</x:v>
      </x:c>
      <x:c r="C495" s="5" t="str">
        <x:v>不同健身人群怎么选蛋白粉?FoYes类型匹配不踩坑</x:v>
      </x:c>
      <x:c r="D495" s="5" t="str">
        <x:v>https://www.cet.com.cn/wzsy/kjzx/cygdzx/10482339.shtml</x:v>
      </x:c>
      <x:c r="E495" s="5" t="str">
        <x:v>cet.com.cn</x:v>
      </x:c>
      <x:c r="F495" s="5" t="str">
        <x:v>综合媒体/转载</x:v>
      </x:c>
      <x:c r="G495" s="5" t="str">
        <x:v>否</x:v>
      </x:c>
      <x:c r="H495" s="5" t="str"/>
      <x:c r="I495" s="5" t="str">
        <x:v>自然</x:v>
      </x:c>
      <x:c r="J495" s="5" t="str">
        <x:v>未核实</x:v>
      </x:c>
    </x:row>
    <x:row r="496" ht="27" customHeight="1">
      <x:c r="A496" s="5" t="str">
        <x:v>元宝</x:v>
      </x:c>
      <x:c r="B496" s="5" t="str">
        <x:v>Q8</x:v>
      </x:c>
      <x:c r="C496" s="5" t="str">
        <x:v>增肌蛋白質攝取量怎麼算?5 秒學會簡單公式高蛋白食物懶人表</x:v>
      </x:c>
      <x:c r="D496" s="5" t="str">
        <x:v>https://ken.girlskintw.com/1989</x:v>
      </x:c>
      <x:c r="E496" s="5" t="str">
        <x:v>ken.girlskintw.com</x:v>
      </x:c>
      <x:c r="F496" s="5" t="str">
        <x:v>其他网页</x:v>
      </x:c>
      <x:c r="G496" s="5" t="str">
        <x:v>否</x:v>
      </x:c>
      <x:c r="H496" s="5" t="str"/>
      <x:c r="I496" s="5" t="str">
        <x:v>自然</x:v>
      </x:c>
      <x:c r="J496" s="5" t="str">
        <x:v>未核实</x:v>
      </x:c>
    </x:row>
    <x:row r="497" ht="27" customHeight="1">
      <x:c r="A497" s="5" t="str">
        <x:v>元宝</x:v>
      </x:c>
      <x:c r="B497" s="5" t="str">
        <x:v>Q8</x:v>
      </x:c>
      <x:c r="C497" s="5" t="str">
        <x:v>國際運動營養學會最新指南-蛋白質攝取和運動的 13 個觀點</x:v>
      </x:c>
      <x:c r="D497" s="5" t="str">
        <x:v>https://www.pteam.com.tw/blogs/%E5%81%A5%E8%BA%AB%E7%A7%91%E5%AD%B8/118243</x:v>
      </x:c>
      <x:c r="E497" s="5" t="str">
        <x:v>pteam.com.tw</x:v>
      </x:c>
      <x:c r="F497" s="5" t="str">
        <x:v>其他网页</x:v>
      </x:c>
      <x:c r="G497" s="5" t="str">
        <x:v>否</x:v>
      </x:c>
      <x:c r="H497" s="5" t="str"/>
      <x:c r="I497" s="5" t="str">
        <x:v>自然</x:v>
      </x:c>
      <x:c r="J497" s="5" t="str">
        <x:v>未核实</x:v>
      </x:c>
    </x:row>
    <x:row r="498" ht="27" customHeight="1">
      <x:c r="A498" s="5" t="str">
        <x:v>元宝</x:v>
      </x:c>
      <x:c r="B498" s="5" t="str">
        <x:v>Q8</x:v>
      </x:c>
      <x:c r="C498" s="5" t="str">
        <x:v>乳清蛋白粉介绍</x:v>
      </x:c>
      <x:c r="D498" s="5" t="str">
        <x:v>https://m.chemicalbook.com/SupplierNews_626022.htm</x:v>
      </x:c>
      <x:c r="E498" s="5" t="str">
        <x:v>chemicalbook.com</x:v>
      </x:c>
      <x:c r="F498" s="5" t="str">
        <x:v>其他网页</x:v>
      </x:c>
      <x:c r="G498" s="5" t="str">
        <x:v>否</x:v>
      </x:c>
      <x:c r="H498" s="5" t="str"/>
      <x:c r="I498" s="5" t="str">
        <x:v>自然</x:v>
      </x:c>
      <x:c r="J498" s="5" t="str">
        <x:v>未核实</x:v>
      </x:c>
    </x:row>
    <x:row r="499" ht="27" customHeight="1">
      <x:c r="A499" s="5" t="str">
        <x:v>元宝</x:v>
      </x:c>
      <x:c r="B499" s="5" t="str">
        <x:v>Q8</x:v>
      </x:c>
      <x:c r="C499" s="5" t="str">
        <x:v>健身如何补充蛋白粉</x:v>
      </x:c>
      <x:c r="D499" s="5" t="str">
        <x:v>https://www.bohe.cn/zx/1606958.html</x:v>
      </x:c>
      <x:c r="E499" s="5" t="str">
        <x:v>bohe.cn</x:v>
      </x:c>
      <x:c r="F499" s="5" t="str">
        <x:v>其他网页</x:v>
      </x:c>
      <x:c r="G499" s="5" t="str">
        <x:v>否</x:v>
      </x:c>
      <x:c r="H499" s="5" t="str"/>
      <x:c r="I499" s="5" t="str">
        <x:v>自然</x:v>
      </x:c>
      <x:c r="J499" s="5" t="str">
        <x:v>未核实</x:v>
      </x:c>
    </x:row>
    <x:row r="500" ht="27" customHeight="1">
      <x:c r="A500" s="5" t="str">
        <x:v>元宝</x:v>
      </x:c>
      <x:c r="B500" s="5" t="str">
        <x:v>Q8</x:v>
      </x:c>
      <x:c r="C500" s="5" t="str">
        <x:v>International Society of Sports Nutrition position stand: Nutrient timing</x:v>
      </x:c>
      <x:c r="D500" s="5" t="str">
        <x:v>https://pmc.ncbi.nlm.nih.gov/articles/PMC2575187/</x:v>
      </x:c>
      <x:c r="E500" s="5" t="str">
        <x:v>pmc.ncbi.nlm.nih.gov</x:v>
      </x:c>
      <x:c r="F500" s="5" t="str">
        <x:v>学术研究</x:v>
      </x:c>
      <x:c r="G500" s="5" t="str">
        <x:v>否</x:v>
      </x:c>
      <x:c r="H500" s="5" t="str"/>
      <x:c r="I500" s="5" t="str">
        <x:v>自然</x:v>
      </x:c>
      <x:c r="J500" s="5" t="str">
        <x:v>未核实</x:v>
      </x:c>
    </x:row>
    <x:row r="501" ht="27" customHeight="1">
      <x:c r="A501" s="5" t="str">
        <x:v>元宝</x:v>
      </x:c>
      <x:c r="B501" s="5" t="str">
        <x:v>Q8</x:v>
      </x:c>
      <x:c r="C501" s="5" t="str">
        <x:v>分離乳清蛋白粉是什麼?從牛奶到高純度蛋白粉的來龍去脈</x:v>
      </x:c>
      <x:c r="D501" s="5" t="str">
        <x:v>https://big5.china.com.cn/gate/big5/food.china.com.cn/2026-09/08/content_118685368.shtml</x:v>
      </x:c>
      <x:c r="E501" s="5" t="str">
        <x:v>big5.china.com.cn</x:v>
      </x:c>
      <x:c r="F501" s="5" t="str">
        <x:v>综合媒体/转载</x:v>
      </x:c>
      <x:c r="G501" s="5" t="str">
        <x:v>否</x:v>
      </x:c>
      <x:c r="H501" s="5" t="str"/>
      <x:c r="I501" s="5" t="str">
        <x:v>自然</x:v>
      </x:c>
      <x:c r="J501" s="5" t="str">
        <x:v>未核实</x:v>
      </x:c>
    </x:row>
    <x:row r="502" ht="27" customHeight="1">
      <x:c r="A502" s="5" t="str">
        <x:v>元宝</x:v>
      </x:c>
      <x:c r="B502" s="5" t="str">
        <x:v>Q8</x:v>
      </x:c>
      <x:c r="C502" s="5" t="str">
        <x:v>增肌每天需要摄入多少蛋白质</x:v>
      </x:c>
      <x:c r="D502" s="5" t="str">
        <x:v>https://m.bohe.cn/zx/1383436.html</x:v>
      </x:c>
      <x:c r="E502" s="5" t="str">
        <x:v>bohe.cn</x:v>
      </x:c>
      <x:c r="F502" s="5" t="str">
        <x:v>其他网页</x:v>
      </x:c>
      <x:c r="G502" s="5" t="str">
        <x:v>否</x:v>
      </x:c>
      <x:c r="H502" s="5" t="str"/>
      <x:c r="I502" s="5" t="str">
        <x:v>自然</x:v>
      </x:c>
      <x:c r="J502" s="5" t="str">
        <x:v>未核实</x:v>
      </x:c>
    </x:row>
    <x:row r="503" ht="27" customHeight="1">
      <x:c r="A503" s="5" t="str">
        <x:v>元宝</x:v>
      </x:c>
      <x:c r="B503" s="5" t="str">
        <x:v>Q9</x:v>
      </x:c>
      <x:c r="C503" s="5" t="str">
        <x:v>ON奥普帝蒙金标乳清蛋白粉 - 京东</x:v>
      </x:c>
      <x:c r="D503" s="5" t="str">
        <x:v>https://union-click.jd.com/jdc?e=&amp;p=JF8BAS4JK1olXwMAVl9YCkIXC18IGlgVXAQHUV1cAUMSBF9MRANLAjZbERscSkAJHTdNTwcKBlMdBgABFksWAG8JGV4QXgcLXFtaFxJSXzI4R1JVAG1LDwY-WBMRBxBIfSIVOWNqAlJROE8RAGkMGloUXjYCVV9cCUIfCmcKK18TMwdsVFdYZkhAVDsNGgkUWlZSVV1fAEonA244WjUVWAELVlhYAXsWM28OE1oRVAcEUl1bDEonA2cMK4y889CO8orkopylgV84K1glbTYCZF1tViUWBGkLTlhBCGheEAQUUkxLAwEKHVoTVQ8FVm5fCUoVAV84K1x-JkdiASYrVBdudDpgWB5PJnpVIws9Wjt1dgtufjUXKnBUUSw0WhRDBSxdbCZvPmAyVG5eDkMeAV8JKw</x:v>
      </x:c>
      <x:c r="E503" s="5" t="str">
        <x:v>union-click.jd.com</x:v>
      </x:c>
      <x:c r="F503" s="5" t="str">
        <x:v>电商</x:v>
      </x:c>
      <x:c r="G503" s="5" t="str">
        <x:v>否</x:v>
      </x:c>
      <x:c r="H503" s="5" t="str">
        <x:v>6星、诺特兰德、健乐多</x:v>
      </x:c>
      <x:c r="I503" s="5" t="str">
        <x:v>自然</x:v>
      </x:c>
      <x:c r="J503" s="5" t="str">
        <x:v>未核实</x:v>
      </x:c>
    </x:row>
    <x:row r="504" ht="27" customHeight="1">
      <x:c r="A504" s="5" t="str">
        <x:v>元宝</x:v>
      </x:c>
      <x:c r="B504" s="5" t="str">
        <x:v>Q9</x:v>
      </x:c>
      <x:c r="C504" s="5" t="str">
        <x:v>Myprotein impact乳清蛋白粉 - 京东</x:v>
      </x:c>
      <x:c r="D504" s="5" t="str">
        <x:v>https://union-click.jd.com/jdc?e=&amp;p=JF8BAS0JK1olXwQFUF9fDkMTBl8IGlocXg8CVF5UDUgUA19MRANLAjZbERscSkAJHTdNTwcKBlMdBgABFksWAmYLElsVXQ8HV11dFxJSXzI4cAMUB3pWBD4-cjVof21vUg1uGFNYElJROE8RAGkMGloUXjYCVV9cCUIfCmcKK18TMwdsVFdYZk4QAW5bGQsdVQILUw4JXU4nA244WjUVWAcCU1xZCnsWM28OE1oRVAcEUl1UD00nA2cMK4y889CO8orkopylgV84K1glbTYCZF1tViUXBG8NGAkdCGheEAQUUkxWUAEKHVsQXwIAUm5fCUoVAV84KyBBLwRlHCNVQDkWfQ1XGwtWGAZDEAdccTZyVi4NdVlcD11BUB0YYzBlYzNpGyNGKDYCZF1bAEIVM244</x:v>
      </x:c>
      <x:c r="E504" s="5" t="str">
        <x:v>union-click.jd.com</x:v>
      </x:c>
      <x:c r="F504" s="5" t="str">
        <x:v>电商</x:v>
      </x:c>
      <x:c r="G504" s="5" t="str">
        <x:v>否</x:v>
      </x:c>
      <x:c r="H504" s="5" t="str">
        <x:v>6星、诺特兰德、健乐多</x:v>
      </x:c>
      <x:c r="I504" s="5" t="str">
        <x:v>自然</x:v>
      </x:c>
      <x:c r="J504" s="5" t="str">
        <x:v>未核实</x:v>
      </x:c>
    </x:row>
    <x:row r="505" ht="27" customHeight="1">
      <x:c r="A505" s="5" t="str">
        <x:v>元宝</x:v>
      </x:c>
      <x:c r="B505" s="5" t="str">
        <x:v>Q9</x:v>
      </x:c>
      <x:c r="C505" s="5" t="str">
        <x:v>诺特兰德乳清蛋白粉 - 天猫精选</x:v>
      </x:c>
      <x:c r="D505" s="5" t="str">
        <x:v>https://s.click.taobao.com/t?e=m%3D2%26s%3DTJSEk116j%2FRw4vFB6t2Z2ueEDrYVVa64yK8Cckff7TVRAdhuF14FMdlxEggQySSF8sviUM61dt2bBjBh3LodcDtMDMUFdHxsEga%2Bn4dNFSFW2RGh2%2FLyNYVwhIsr1DlAgb9ZeSZXs4rQ5thPdhAOVM0oF5lwuXqpYWv52jgYn52c9P5r0iVyqpex6l0Ihz38vA8xY08Sug1gjsKf5mo5PosdPva9duE62tMHJJgEA595xNf0vQ1gVe%2BKV6JEW8x3ppipkbwBvRGBoVjdP6l8JepWDv3jK62scSpj5qSCmbA%3D&amp;union_lens=lensId:TAPI@1790580772@212cb236_1e3a_1a0e6ee5009_82dc@01</x:v>
      </x:c>
      <x:c r="E505" s="5" t="str">
        <x:v>s.click.taobao.com</x:v>
      </x:c>
      <x:c r="F505" s="5" t="str">
        <x:v>电商</x:v>
      </x:c>
      <x:c r="G505" s="5" t="str">
        <x:v>否</x:v>
      </x:c>
      <x:c r="H505" s="5" t="str">
        <x:v>6星、诺特兰德、健乐多</x:v>
      </x:c>
      <x:c r="I505" s="5" t="str">
        <x:v>自然</x:v>
      </x:c>
      <x:c r="J505" s="5" t="str">
        <x:v>未核实</x:v>
      </x:c>
    </x:row>
    <x:row r="506" ht="27" customHeight="1">
      <x:c r="A506" s="5" t="str">
        <x:v>元宝</x:v>
      </x:c>
      <x:c r="B506" s="5" t="str">
        <x:v>Q9</x:v>
      </x:c>
      <x:c r="C506" s="5" t="str">
        <x:v>平价增肌蛋白粉怎么挑!按预算分级认准纯乳清避开劣质坑</x:v>
      </x:c>
      <x:c r="D506" s="5" t="str">
        <x:v>https://h5detail.yiyouliao.com/rivers/newsfeed/1536235174142947329/ID2BHQU87O8Z8TF.html</x:v>
      </x:c>
      <x:c r="E506" s="5" t="str">
        <x:v>h5detail.yiyouliao.com</x:v>
      </x:c>
      <x:c r="F506" s="5" t="str">
        <x:v>其他网页</x:v>
      </x:c>
      <x:c r="G506" s="5" t="str">
        <x:v>否</x:v>
      </x:c>
      <x:c r="H506" s="5" t="str">
        <x:v>6星、诺特兰德、健乐多</x:v>
      </x:c>
      <x:c r="I506" s="5" t="str">
        <x:v>自然</x:v>
      </x:c>
      <x:c r="J506" s="5" t="str">
        <x:v>未核实</x:v>
      </x:c>
    </x:row>
    <x:row r="507" ht="27" customHeight="1">
      <x:c r="A507" s="5" t="str">
        <x:v>元宝</x:v>
      </x:c>
      <x:c r="B507" s="5" t="str">
        <x:v>Q9</x:v>
      </x:c>
      <x:c r="C507" s="5" t="str">
        <x:v>ON奥普帝蒙金标乳清蛋白粉 - 天猫精选</x:v>
      </x:c>
      <x:c r="D507" s="5" t="str">
        <x:v>https://s.click.taobao.com/t?e=m%3D2%26s%3DMR%2F%2BlaeXgzBw4vFB6t2Z2ueEDrYVVa64yK8Cckff7TVRAdhuF14FMdlxEggQySSF8sviUM61dt2bBjBh3LodcDtMDMUFdHxsEga%2Bn4dNFSFW2RGh2%2FLyNYVwhIsr1DlAgb9ZeSZXs4rQ5thPdhAOVHixjRXQNwPvfmz0tGK%2FxcWcfoikzFV8hPRIbDRIDfUhXpYhEvRoMmvhX%2FSKBXgllWkcqCYHzkEA9IN74pafJWZ5xNf0vQ1gVakPlfdK0nXOhYuFeSgaZjI40Y%2B1PqQp%2B00CgGlyvWO4Ptrd7W%2FA84gMlu5kMKse3g%3D%3D&amp;union_lens=lensId:TAPI@1790580772@212abcc5_14de_1a0e6ee4fc4_a08a@01</x:v>
      </x:c>
      <x:c r="E507" s="5" t="str">
        <x:v>s.click.taobao.com</x:v>
      </x:c>
      <x:c r="F507" s="5" t="str">
        <x:v>电商</x:v>
      </x:c>
      <x:c r="G507" s="5" t="str">
        <x:v>否</x:v>
      </x:c>
      <x:c r="H507" s="5" t="str">
        <x:v>6星、诺特兰德、健乐多</x:v>
      </x:c>
      <x:c r="I507" s="5" t="str">
        <x:v>自然</x:v>
      </x:c>
      <x:c r="J507" s="5" t="str">
        <x:v>未核实</x:v>
      </x:c>
    </x:row>
    <x:row r="508" ht="27" customHeight="1">
      <x:c r="A508" s="5" t="str">
        <x:v>元宝</x:v>
      </x:c>
      <x:c r="B508" s="5" t="str">
        <x:v>Q9</x:v>
      </x:c>
      <x:c r="C508" s="5" t="str">
        <x:v>Myprotein impact乳清蛋白粉 - 淘宝精选</x:v>
      </x:c>
      <x:c r="D508" s="5" t="str">
        <x:v>https://uland.taobao.com/item/edetail?id=gZvNjqWs3t2W2Gx6ZqUrYswCr-V5nAMaCk440vqybsgJ</x:v>
      </x:c>
      <x:c r="E508" s="5" t="str">
        <x:v>uland.taobao.com</x:v>
      </x:c>
      <x:c r="F508" s="5" t="str">
        <x:v>电商</x:v>
      </x:c>
      <x:c r="G508" s="5" t="str">
        <x:v>否</x:v>
      </x:c>
      <x:c r="H508" s="5" t="str">
        <x:v>6星、诺特兰德、健乐多</x:v>
      </x:c>
      <x:c r="I508" s="5" t="str">
        <x:v>自然</x:v>
      </x:c>
      <x:c r="J508" s="5" t="str">
        <x:v>未核实</x:v>
      </x:c>
    </x:row>
    <x:row r="509" ht="27" customHeight="1">
      <x:c r="A509" s="5" t="str">
        <x:v>元宝</x:v>
      </x:c>
      <x:c r="B509" s="5" t="str">
        <x:v>Q9</x:v>
      </x:c>
      <x:c r="C509" s="5" t="str">
        <x:v>诺特兰德乳清蛋白粉 - 天猫精选</x:v>
      </x:c>
      <x:c r="D509" s="5" t="str">
        <x:v>https://s.click.taobao.com/t?e=m%3D2%26s%3D2CUZTnReLi1w4vFB6t2Z2ueEDrYVVa64yK8Cckff7TVRAdhuF14FMdlxEggQySSF8sviUM61dt2bBjBh3LodcDtMDMUFdHxsEga%2Bn4dNFSFW2RGh2%2FLyNYVwhIsr1DlAgb9ZeSZXs4rQ5thPdhAOVO4RA7M5EmX0rccCyN7uwFyFHlTpGyr1MjTAB%2B%2BUyY2i7UwKlo4Djwk0ETKov%2BwGjYvidz8gk2UW4JHAl5dGexCq9cGXHsX5nxcvDvESyFGz1pA6x3kzfM8waLo6v8KOjhTH%2FHzA%2BxNj6lYO%2FeMrraxxKmPmpIKZsA%3D%3D&amp;union_lens=lensId:TAPI@1790580772@21055d7c_142d_1a0e6ee4fe7_31de@01</x:v>
      </x:c>
      <x:c r="E509" s="5" t="str">
        <x:v>s.click.taobao.com</x:v>
      </x:c>
      <x:c r="F509" s="5" t="str">
        <x:v>电商</x:v>
      </x:c>
      <x:c r="G509" s="5" t="str">
        <x:v>否</x:v>
      </x:c>
      <x:c r="H509" s="5" t="str">
        <x:v>6星、诺特兰德、健乐多</x:v>
      </x:c>
      <x:c r="I509" s="5" t="str">
        <x:v>自然</x:v>
      </x:c>
      <x:c r="J509" s="5" t="str">
        <x:v>未核实</x:v>
      </x:c>
    </x:row>
    <x:row r="510" ht="27" customHeight="1">
      <x:c r="A510" s="5" t="str">
        <x:v>元宝</x:v>
      </x:c>
      <x:c r="B510" s="5" t="str">
        <x:v>Q9</x:v>
      </x:c>
      <x:c r="C510" s="5" t="str">
        <x:v>百元价位宝藏!元气码头乳清蛋白粉体验:高性价比的肌肉补给站!</x:v>
      </x:c>
      <x:c r="D510" s="5" t="str">
        <x:v>https://post.m.smzdm.com/p/a34z9ddk/</x:v>
      </x:c>
      <x:c r="E510" s="5" t="str">
        <x:v>post.m.smzdm.com</x:v>
      </x:c>
      <x:c r="F510" s="5" t="str">
        <x:v>UGC/视频/公众号</x:v>
      </x:c>
      <x:c r="G510" s="5" t="str">
        <x:v>否</x:v>
      </x:c>
      <x:c r="H510" s="5" t="str">
        <x:v>6星、诺特兰德、健乐多</x:v>
      </x:c>
      <x:c r="I510" s="5" t="str">
        <x:v>自然</x:v>
      </x:c>
      <x:c r="J510" s="5" t="str">
        <x:v>未核实</x:v>
      </x:c>
    </x:row>
    <x:row r="511" ht="27" customHeight="1">
      <x:c r="A511" s="5" t="str">
        <x:v>元宝</x:v>
      </x:c>
      <x:c r="B511" s="5" t="str">
        <x:v>Q9</x:v>
      </x:c>
      <x:c r="C511" s="5" t="str">
        <x:v>会员日福利丨金标乳清568,周边限量加赠</x:v>
      </x:c>
      <x:c r="D511" s="5" t="str">
        <x:v>http://mp.weixin.qq.com/s?__biz=MzI1NjYzMzQwNg==&amp;mid=2247507267&amp;idx=1&amp;sn=852f2e634b2bbd275affd8eb8afb04e0&amp;chksm=ebc3534d1e6a744d475a0c13dc0b670e87afdbd37309e34500a1e0e355cb0d403431ae8b95d7#rd</x:v>
      </x:c>
      <x:c r="E511" s="5" t="str">
        <x:v>mp.weixin.qq.com</x:v>
      </x:c>
      <x:c r="F511" s="5" t="str">
        <x:v>UGC/视频/公众号</x:v>
      </x:c>
      <x:c r="G511" s="5" t="str">
        <x:v>否</x:v>
      </x:c>
      <x:c r="H511" s="5" t="str">
        <x:v>6星、诺特兰德、健乐多</x:v>
      </x:c>
      <x:c r="I511" s="5" t="str">
        <x:v>自然</x:v>
      </x:c>
      <x:c r="J511" s="5" t="str">
        <x:v>未核实</x:v>
      </x:c>
    </x:row>
    <x:row r="512" ht="27" customHeight="1">
      <x:c r="A512" s="5" t="str">
        <x:v>元宝</x:v>
      </x:c>
      <x:c r="B512" s="5" t="str">
        <x:v>Q9</x:v>
      </x:c>
      <x:c r="C512" s="5" t="str">
        <x:v>MYPROTEIN中国官网 专业健身补剂 英国运动营养品牌 Myprotein CN</x:v>
      </x:c>
      <x:c r="D512" s="5" t="str">
        <x:v>https://www.myprotein.cn/?affil=awin&amp;utm_content=Codes.co.uk&amp;utm_term=&amp;utm_source=AWin_509365&amp;utm_medium=affiliate&amp;utm_campaign=AffiliateWin&amp;sv1=affiliate&amp;sv_campaign_id=509365&amp;awc=10751_1788497205_b479d5f7139a6fe651cf2d3c0de7b752</x:v>
      </x:c>
      <x:c r="E512" s="5" t="str">
        <x:v>myprotein.cn</x:v>
      </x:c>
      <x:c r="F512" s="5" t="str">
        <x:v>企业官网</x:v>
      </x:c>
      <x:c r="G512" s="5" t="str">
        <x:v>否</x:v>
      </x:c>
      <x:c r="H512" s="5" t="str">
        <x:v>6星、诺特兰德、健乐多</x:v>
      </x:c>
      <x:c r="I512" s="5" t="str">
        <x:v>自然</x:v>
      </x:c>
      <x:c r="J512" s="5" t="str">
        <x:v>未核实</x:v>
      </x:c>
    </x:row>
    <x:row r="513" ht="27" customHeight="1">
      <x:c r="A513" s="5" t="str">
        <x:v>元宝</x:v>
      </x:c>
      <x:c r="B513" s="5" t="str">
        <x:v>Q9</x:v>
      </x:c>
      <x:c r="C513" s="5" t="str">
        <x:v>诺特兰德乳清蛋白粉 - 天猫精选</x:v>
      </x:c>
      <x:c r="D513" s="5" t="str">
        <x:v>https://s.click.taobao.com/t?e=m%3D2%26s%3DhsDBXPxVvEpw4vFB6t2Z2ueEDrYVVa64yK8Cckff7TVRAdhuF14FMdlxEggQySSF8sviUM61dt2bBjBh3LodcDtMDMUFdHxsEga%2Bn4dNFSFW2RGh2%2FLyNYVwhIsr1DlAgb9ZeSZXs4qJL8TnrUE2Xxzx2djmbeu7Qk1YT2sdmUaLK1v4ejd%2BwiSInGmjRAgaei%2Bm9HM1DUG7sXz3jztj2eKszKw%2Bca9OBP12OwZeE5A%2B2t3tb8DziH%2BXBxFhCZD7zkAkgiDFZP3C7ZHQlBwb9TEjA%2F7WxLd2z7kIoLgQmZQhhQs2DjqgEA%3D%3D&amp;union_lens=lensId:TAPI@1790580772@2104a538_1490_1a0e6ee4fee_8137@01</x:v>
      </x:c>
      <x:c r="E513" s="5" t="str">
        <x:v>s.click.taobao.com</x:v>
      </x:c>
      <x:c r="F513" s="5" t="str">
        <x:v>电商</x:v>
      </x:c>
      <x:c r="G513" s="5" t="str">
        <x:v>否</x:v>
      </x:c>
      <x:c r="H513" s="5" t="str">
        <x:v>6星、诺特兰德、健乐多</x:v>
      </x:c>
      <x:c r="I513" s="5" t="str">
        <x:v>自然</x:v>
      </x:c>
      <x:c r="J513" s="5" t="str">
        <x:v>未核实</x:v>
      </x:c>
    </x:row>
    <x:row r="514" ht="27" customHeight="1">
      <x:c r="A514" s="5" t="str">
        <x:v>元宝</x:v>
      </x:c>
      <x:c r="B514" s="5" t="str">
        <x:v>Q9</x:v>
      </x:c>
      <x:c r="C514" s="5" t="str">
        <x:v>Swisse 斯维诗 乳清蛋白粉固体饮料200g 三口味99.77元包邮</x:v>
      </x:c>
      <x:c r="D514" s="5" t="str">
        <x:v>https://www.baicaio.com/item/983117.html</x:v>
      </x:c>
      <x:c r="E514" s="5" t="str">
        <x:v>baicaio.com</x:v>
      </x:c>
      <x:c r="F514" s="5" t="str">
        <x:v>其他网页</x:v>
      </x:c>
      <x:c r="G514" s="5" t="str">
        <x:v>否</x:v>
      </x:c>
      <x:c r="H514" s="5" t="str">
        <x:v>6星、诺特兰德、健乐多</x:v>
      </x:c>
      <x:c r="I514" s="5" t="str">
        <x:v>自然</x:v>
      </x:c>
      <x:c r="J514" s="5" t="str">
        <x:v>未核实</x:v>
      </x:c>
    </x:row>
    <x:row r="515" ht="27" customHeight="1">
      <x:c r="A515" s="5" t="str">
        <x:v>元宝</x:v>
      </x:c>
      <x:c r="B515" s="5" t="str">
        <x:v>Q9</x:v>
      </x:c>
      <x:c r="C515" s="5" t="str">
        <x:v>【新口味上市】Impact 乳清蛋白粉 MyProtein CN</x:v>
      </x:c>
      <x:c r="D515" s="5" t="str">
        <x:v>https://www.myprotein.cn/p/sports-nutrition/impact-powder/10530943/</x:v>
      </x:c>
      <x:c r="E515" s="5" t="str">
        <x:v>myprotein.cn</x:v>
      </x:c>
      <x:c r="F515" s="5" t="str">
        <x:v>企业官网</x:v>
      </x:c>
      <x:c r="G515" s="5" t="str">
        <x:v>否</x:v>
      </x:c>
      <x:c r="H515" s="5" t="str">
        <x:v>6星、诺特兰德、健乐多</x:v>
      </x:c>
      <x:c r="I515" s="5" t="str">
        <x:v>自然</x:v>
      </x:c>
      <x:c r="J515" s="5" t="str">
        <x:v>未核实</x:v>
      </x:c>
    </x:row>
    <x:row r="516" ht="27" customHeight="1">
      <x:c r="A516" s="5" t="str">
        <x:v>元宝</x:v>
      </x:c>
      <x:c r="B516" s="5" t="str">
        <x:v>Q9</x:v>
      </x:c>
      <x:c r="C516" s="5" t="str">
        <x:v>健身蛋白粉怎么选:10款产品按蛋白来源､数据口径和包装规格横向比较</x:v>
      </x:c>
      <x:c r="D516" s="5" t="str">
        <x:v>http://zkxww.com/news/zhzx/2026-09-15/417043.html</x:v>
      </x:c>
      <x:c r="E516" s="5" t="str">
        <x:v>zkxww.com</x:v>
      </x:c>
      <x:c r="F516" s="5" t="str">
        <x:v>其他网页</x:v>
      </x:c>
      <x:c r="G516" s="5" t="str">
        <x:v>否</x:v>
      </x:c>
      <x:c r="H516" s="5" t="str">
        <x:v>6星、诺特兰德、健乐多</x:v>
      </x:c>
      <x:c r="I516" s="5" t="str">
        <x:v>自然</x:v>
      </x:c>
      <x:c r="J516" s="5" t="str">
        <x:v>未核实</x:v>
      </x:c>
    </x:row>
    <x:row r="517" ht="27" customHeight="1">
      <x:c r="A517" s="5" t="str">
        <x:v>元宝</x:v>
      </x:c>
      <x:c r="B517" s="5" t="str">
        <x:v>Q9</x:v>
      </x:c>
      <x:c r="C517" s="5" t="str">
        <x:v>临期白菜!Muscletech肌肉科技旗下,Six Star 六星 益生菌复合乳清蛋白粉7磅(3.18kg)新低79元包邮</x:v>
      </x:c>
      <x:c r="D517" s="5" t="str">
        <x:v>https://www.baicaio.com/item/991950.html</x:v>
      </x:c>
      <x:c r="E517" s="5" t="str">
        <x:v>baicaio.com</x:v>
      </x:c>
      <x:c r="F517" s="5" t="str">
        <x:v>其他网页</x:v>
      </x:c>
      <x:c r="G517" s="5" t="str">
        <x:v>否</x:v>
      </x:c>
      <x:c r="H517" s="5" t="str">
        <x:v>6星、诺特兰德、健乐多</x:v>
      </x:c>
      <x:c r="I517" s="5" t="str">
        <x:v>自然</x:v>
      </x:c>
      <x:c r="J517" s="5" t="str">
        <x:v>未核实</x:v>
      </x:c>
    </x:row>
    <x:row r="518" ht="27" customHeight="1">
      <x:c r="A518" s="5" t="str">
        <x:v>元宝</x:v>
      </x:c>
      <x:c r="B518" s="5" t="str">
        <x:v>Q9</x:v>
      </x:c>
      <x:c r="C518" s="5" t="str">
        <x:v>ON OPTIMUM NUTRITION 奥普帝蒙 黄金标准 乳清蛋白粉 香草冰淇淋味 5磅</x:v>
      </x:c>
      <x:c r="D518" s="5" t="str">
        <x:v>https://m.smzdm.com/p/181692654</x:v>
      </x:c>
      <x:c r="E518" s="5" t="str">
        <x:v>smzdm.com</x:v>
      </x:c>
      <x:c r="F518" s="5" t="str">
        <x:v>UGC/视频/公众号</x:v>
      </x:c>
      <x:c r="G518" s="5" t="str">
        <x:v>否</x:v>
      </x:c>
      <x:c r="H518" s="5" t="str">
        <x:v>6星、诺特兰德、健乐多</x:v>
      </x:c>
      <x:c r="I518" s="5" t="str">
        <x:v>自然</x:v>
      </x:c>
      <x:c r="J518" s="5" t="str">
        <x:v>未核实</x:v>
      </x:c>
    </x:row>
    <x:row r="519" ht="27" customHeight="1">
      <x:c r="A519" s="5" t="str">
        <x:v>元宝</x:v>
      </x:c>
      <x:c r="B519" s="5" t="str">
        <x:v>Q9</x:v>
      </x:c>
      <x:c r="C519" s="5" t="str">
        <x:v>Impact乳清蛋白粉 - 草莓､樱花和北海道鲜奶口味 Myprotein CN</x:v>
      </x:c>
      <x:c r="D519" s="5" t="str">
        <x:v>https://www.myprotein.cn/p/sports-nutrition/impact-whey-protein-strawberry-sakura-hokkaido-milk/13540514/</x:v>
      </x:c>
      <x:c r="E519" s="5" t="str">
        <x:v>myprotein.cn</x:v>
      </x:c>
      <x:c r="F519" s="5" t="str">
        <x:v>企业官网</x:v>
      </x:c>
      <x:c r="G519" s="5" t="str">
        <x:v>否</x:v>
      </x:c>
      <x:c r="H519" s="5" t="str">
        <x:v>6星、诺特兰德、健乐多</x:v>
      </x:c>
      <x:c r="I519" s="5" t="str">
        <x:v>自然</x:v>
      </x:c>
      <x:c r="J519" s="5" t="str">
        <x:v>未核实</x:v>
      </x:c>
    </x:row>
    <x:row r="520" ht="27" customHeight="1">
      <x:c r="A520" s="5" t="str">
        <x:v>元宝</x:v>
      </x:c>
      <x:c r="B520" s="5" t="str">
        <x:v>Q9</x:v>
      </x:c>
      <x:c r="C520" s="5" t="str">
        <x:v>蛋白粉哪个牌子适合新手:先看一个反常识判断</x:v>
      </x:c>
      <x:c r="D520" s="5" t="str">
        <x:v>https://www.yszyapp.cn/p/132066.html</x:v>
      </x:c>
      <x:c r="E520" s="5" t="str">
        <x:v>yszyapp.cn</x:v>
      </x:c>
      <x:c r="F520" s="5" t="str">
        <x:v>其他网页</x:v>
      </x:c>
      <x:c r="G520" s="5" t="str">
        <x:v>否</x:v>
      </x:c>
      <x:c r="H520" s="5" t="str">
        <x:v>6星、诺特兰德、健乐多</x:v>
      </x:c>
      <x:c r="I520" s="5" t="str">
        <x:v>自然</x:v>
      </x:c>
      <x:c r="J520" s="5" t="str">
        <x:v>未核实</x:v>
      </x:c>
    </x:row>
    <x:row r="521" ht="27" customHeight="1">
      <x:c r="A521" s="5" t="str">
        <x:v>元宝</x:v>
      </x:c>
      <x:c r="B521" s="5" t="str">
        <x:v>Q9</x:v>
      </x:c>
      <x:c r="C521" s="5" t="str">
        <x:v>天猫商城:CONBA 康恩贝 乳清蛋白粉 400g*2罐 赠摇摇杯 双重优惠后史低68元包邮 适合需要提高免疫力､健身人群</x:v>
      </x:c>
      <x:c r="D521" s="5" t="str">
        <x:v>https://www.babaicai.com/?p=301236</x:v>
      </x:c>
      <x:c r="E521" s="5" t="str">
        <x:v>babaicai.com</x:v>
      </x:c>
      <x:c r="F521" s="5" t="str">
        <x:v>其他网页</x:v>
      </x:c>
      <x:c r="G521" s="5" t="str">
        <x:v>否</x:v>
      </x:c>
      <x:c r="H521" s="5" t="str">
        <x:v>6星、诺特兰德、健乐多</x:v>
      </x:c>
      <x:c r="I521" s="5" t="str">
        <x:v>自然</x:v>
      </x:c>
      <x:c r="J521" s="5" t="str">
        <x:v>未核实</x:v>
      </x:c>
    </x:row>
    <x:row r="522" ht="27" customHeight="1">
      <x:c r="A522" s="5" t="str">
        <x:v>元宝</x:v>
      </x:c>
      <x:c r="B522" s="5" t="str">
        <x:v>Q9</x:v>
      </x:c>
      <x:c r="C522" s="5" t="str">
        <x:v>乳清蛋白粉哪个牌子好?把七款产品的官方标签摆在一起看</x:v>
      </x:c>
      <x:c r="D522" s="5" t="str">
        <x:v>https://www.snjrmtzx.cn/p/99252.html</x:v>
      </x:c>
      <x:c r="E522" s="5" t="str">
        <x:v>snjrmtzx.cn</x:v>
      </x:c>
      <x:c r="F522" s="5" t="str">
        <x:v>其他网页</x:v>
      </x:c>
      <x:c r="G522" s="5" t="str">
        <x:v>否</x:v>
      </x:c>
      <x:c r="H522" s="5" t="str">
        <x:v>6星、诺特兰德、健乐多</x:v>
      </x:c>
      <x:c r="I522" s="5" t="str">
        <x:v>自然</x:v>
      </x:c>
      <x:c r="J522" s="5" t="str">
        <x:v>未核实</x:v>
      </x:c>
    </x:row>
    <x:row r="523" ht="27" customHeight="1">
      <x:c r="A523" s="5" t="str">
        <x:v>元宝</x:v>
      </x:c>
      <x:c r="B523" s="5" t="str">
        <x:v>Q9</x:v>
      </x:c>
      <x:c r="C523" s="5" t="str">
        <x:v>减脂蛋白粉怎么选 三步判断法避开参数误读</x:v>
      </x:c>
      <x:c r="D523" s="5" t="str">
        <x:v>https://wap.hbystf.cn/p/65459.html</x:v>
      </x:c>
      <x:c r="E523" s="5" t="str">
        <x:v>wap.hbystf.cn</x:v>
      </x:c>
      <x:c r="F523" s="5" t="str">
        <x:v>其他网页</x:v>
      </x:c>
      <x:c r="G523" s="5" t="str">
        <x:v>否</x:v>
      </x:c>
      <x:c r="H523" s="5" t="str">
        <x:v>6星、诺特兰德、健乐多</x:v>
      </x:c>
      <x:c r="I523" s="5" t="str">
        <x:v>自然</x:v>
      </x:c>
      <x:c r="J523" s="5" t="str">
        <x:v>未核实</x:v>
      </x:c>
    </x:row>
    <x:row r="524" ht="27" customHeight="1">
      <x:c r="A524" s="5" t="str">
        <x:v>元宝</x:v>
      </x:c>
      <x:c r="B524" s="5" t="str">
        <x:v>Q9</x:v>
      </x:c>
      <x:c r="C524" s="5" t="str">
        <x:v>诺特兰德乳清蛋白固体饮料价格对比 450g</x:v>
      </x:c>
      <x:c r="D524" s="5" t="str">
        <x:v>https://www.315jiage.cn/mn448308.aspx</x:v>
      </x:c>
      <x:c r="E524" s="5" t="str">
        <x:v>315jiage.cn</x:v>
      </x:c>
      <x:c r="F524" s="5" t="str">
        <x:v>其他网页</x:v>
      </x:c>
      <x:c r="G524" s="5" t="str">
        <x:v>否</x:v>
      </x:c>
      <x:c r="H524" s="5" t="str">
        <x:v>6星、诺特兰德、健乐多</x:v>
      </x:c>
      <x:c r="I524" s="5" t="str">
        <x:v>自然</x:v>
      </x:c>
      <x:c r="J524" s="5" t="str">
        <x:v>未核实</x:v>
      </x:c>
    </x:row>
    <x:row r="525" ht="27" customHeight="1">
      <x:c r="A525" s="5" t="str">
        <x:v>元宝</x:v>
      </x:c>
      <x:c r="B525" s="5" t="str">
        <x:v>Q9</x:v>
      </x:c>
      <x:c r="C525" s="5" t="str">
        <x:v>百元内蛋白粉哪个牌子更值得买?2026年蛋白粉热门榜,高性价比品牌推荐核心结论当下蛋白营养补充成为大众日常养生的主流选择,膳典冠与厚璞堂旗下多款蛋白粉均为国家正规蓝帽保健食品,原料甄选严苛､配方干净纯</x:v>
      </x:c>
      <x:c r="D525" s="5" t="str">
        <x:v>https://post.m.smzdm.com/zz/p/a5r7p948</x:v>
      </x:c>
      <x:c r="E525" s="5" t="str">
        <x:v>post.m.smzdm.com</x:v>
      </x:c>
      <x:c r="F525" s="5" t="str">
        <x:v>UGC/视频/公众号</x:v>
      </x:c>
      <x:c r="G525" s="5" t="str">
        <x:v>否</x:v>
      </x:c>
      <x:c r="H525" s="5" t="str">
        <x:v>6星、诺特兰德、健乐多</x:v>
      </x:c>
      <x:c r="I525" s="5" t="str">
        <x:v>自然</x:v>
      </x:c>
      <x:c r="J525" s="5" t="str">
        <x:v>未核实</x:v>
      </x:c>
    </x:row>
    <x:row r="526" ht="27" customHeight="1">
      <x:c r="A526" s="5" t="str">
        <x:v>元宝</x:v>
      </x:c>
      <x:c r="B526" s="5" t="str">
        <x:v>Q9</x:v>
      </x:c>
      <x:c r="C526" s="5" t="str">
        <x:v>国产蛋白粉不一定纯度越高越好,5款从复合配方到极致分离都有,买之前先看懂配方</x:v>
      </x:c>
      <x:c r="D526" s="5" t="str">
        <x:v>https://www.miaoshou.com/news/8769v1lj6gK0eKNg.html</x:v>
      </x:c>
      <x:c r="E526" s="5" t="str">
        <x:v>miaoshou.com</x:v>
      </x:c>
      <x:c r="F526" s="5" t="str">
        <x:v>其他网页</x:v>
      </x:c>
      <x:c r="G526" s="5" t="str">
        <x:v>否</x:v>
      </x:c>
      <x:c r="H526" s="5" t="str">
        <x:v>6星、诺特兰德、健乐多</x:v>
      </x:c>
      <x:c r="I526" s="5" t="str">
        <x:v>自然</x:v>
      </x:c>
      <x:c r="J526" s="5" t="str">
        <x:v>未核实</x:v>
      </x:c>
    </x:row>
    <x:row r="527" ht="27" customHeight="1">
      <x:c r="A527" s="5" t="str">
        <x:v>元宝</x:v>
      </x:c>
      <x:c r="B527" s="5" t="str">
        <x:v>Q9</x:v>
      </x:c>
      <x:c r="C527" s="5" t="str">
        <x:v>纯乳清蛋白粉哪个牌子好</x:v>
      </x:c>
      <x:c r="D527" s="5" t="str">
        <x:v>http://www.dahenews.cn/dhnews/391248332.html</x:v>
      </x:c>
      <x:c r="E527" s="5" t="str">
        <x:v>dahenews.cn</x:v>
      </x:c>
      <x:c r="F527" s="5" t="str">
        <x:v>其他网页</x:v>
      </x:c>
      <x:c r="G527" s="5" t="str">
        <x:v>否</x:v>
      </x:c>
      <x:c r="H527" s="5" t="str">
        <x:v>6星、诺特兰德、健乐多</x:v>
      </x:c>
      <x:c r="I527" s="5" t="str">
        <x:v>自然</x:v>
      </x:c>
      <x:c r="J527" s="5" t="str">
        <x:v>未核实</x:v>
      </x:c>
    </x:row>
    <x:row r="528" ht="27" customHeight="1">
      <x:c r="A528" s="5" t="str">
        <x:v>元宝</x:v>
      </x:c>
      <x:c r="B528" s="5" t="str">
        <x:v>Q9</x:v>
      </x:c>
      <x:c r="C528" s="5" t="str">
        <x:v>康比特官方旗舰店乳清蛋白粉 - 天猫精选</x:v>
      </x:c>
      <x:c r="D528" s="5" t="str">
        <x:v>https://s.click.taobao.com/t?e=m%3D2%26s%3DCxy6LACb9bdw4vFB6t2Z2ueEDrYVVa64yK8Cckff7TVRAdhuF14FMdlxEggQySSFMMgx22UI05abBjBh3LodcDtMDMUFdHxsEga%2Bn4dNFSFW2RGh2%2FLyNYVwhIsr1DlAgb9ZeSZXs4rC7WlrT9%2B1KgdquPfXsvu8bQswuMQxC9qWb4x1Ndjr0fRaMgXJ83lqZzhXN3THxY8RtuqGosxaiXbJIxQw0Ia%2FjRQCyqJAl4bqVg794yutrPOzWC2bTklhBbVlol8NOYvAv%2FlYwpKj5iPDVdlpgtTromfkDJRs%2BhU%3D&amp;union_lens=lensId:TAPI@1790580778@2166fd3e_13e0_1a0e6ee67f4_caed@01</x:v>
      </x:c>
      <x:c r="E528" s="5" t="str">
        <x:v>s.click.taobao.com</x:v>
      </x:c>
      <x:c r="F528" s="5" t="str">
        <x:v>电商</x:v>
      </x:c>
      <x:c r="G528" s="5" t="str">
        <x:v>否</x:v>
      </x:c>
      <x:c r="H528" s="5" t="str">
        <x:v>6星、诺特兰德、健乐多</x:v>
      </x:c>
      <x:c r="I528" s="5" t="str">
        <x:v>自然</x:v>
      </x:c>
      <x:c r="J528" s="5" t="str">
        <x:v>未核实</x:v>
      </x:c>
    </x:row>
    <x:row r="529" ht="27" customHeight="1">
      <x:c r="A529" s="5" t="str">
        <x:v>元宝</x:v>
      </x:c>
      <x:c r="B529" s="5" t="str">
        <x:v>Q9</x:v>
      </x:c>
      <x:c r="C529" s="5" t="str">
        <x:v>健乐多官方旗舰店乳清蛋白粉 - 京东</x:v>
      </x:c>
      <x:c r="D529" s="5" t="str">
        <x:v>https://union-click.jd.com/jdc?e=&amp;p=JF8BAS4JK1olWAYHUFlVCksQB18IGlgXWAILU1xeCUkWAl9MRANLAjZbERscSkAJHTdNTwcKBlMdBgABFksWAG0NH1ISXwUDVl9cFxJSXzI4ZxNANH9eFgg-SRtLeg5YSCt2VXxWJFJROE8RAGkMGloUXjYCVV9cCUIfCmcKK18TMwdsVFdYZhgUBWYJGg4dXQ5SBg0KWEsnA244WjUVXw4FV1lcAXsWM28OE1oRVAcEUlZcC0snA2cMK4y889CO8orkopylgV84K1glbTYCZF1tViUWBGkLTA9FXWheEAQUUhhBBAEKHVodWwQLXG5fCUoVAV84KyNUWGRDPx4kDyJgYwRqGyAUXnEFNDUnCRdldD1wHjUXInoCUA0LCRdhBhBbexNvX1oyVG5eDkMeAV8JKw</x:v>
      </x:c>
      <x:c r="E529" s="5" t="str">
        <x:v>union-click.jd.com</x:v>
      </x:c>
      <x:c r="F529" s="5" t="str">
        <x:v>电商</x:v>
      </x:c>
      <x:c r="G529" s="5" t="str">
        <x:v>否</x:v>
      </x:c>
      <x:c r="H529" s="5" t="str">
        <x:v>6星、诺特兰德、健乐多</x:v>
      </x:c>
      <x:c r="I529" s="5" t="str">
        <x:v>自然</x:v>
      </x:c>
      <x:c r="J529" s="5" t="str">
        <x:v>未核实</x:v>
      </x:c>
    </x:row>
    <x:row r="530" ht="27" customHeight="1">
      <x:c r="A530" s="5" t="str">
        <x:v>元宝</x:v>
      </x:c>
      <x:c r="B530" s="5" t="str">
        <x:v>Q9</x:v>
      </x:c>
      <x:c r="C530" s="5" t="str">
        <x:v>肌肉科技六星官方旗舰店乳清蛋白粉 - 天猫精选</x:v>
      </x:c>
      <x:c r="D530" s="5" t="str">
        <x:v>https://s.click.taobao.com/t?e=m%3D2%26s%3DJjfsySVCPRlw4vFB6t2Z2ueEDrYVVa64yK8Cckff7TVRAdhuF14FMdlxEggQySSF79%2FTFaMDK6SbBjBh3LodcDtMDMUFdHxsEga%2Bn4dNFSFW2RGh2%2FLyNYVwhIsr1DlAgb9ZeSZXs4rQ5thPdhAOVBwOrfn%2BXzZpjw3IlOMEKsmMHuv7RoNv0Q0jFsbsQ7KWi%2FslNeW9iEk11zs4ui08Cp7koJeB7pz%2BDRMFpVg3h2mwK%2FdZd%2Fi%2F0I5w2h%2FAtVVkecTX9L0NYFWpD5X3StJ1ztOG7fwodBwmRBUJzMFU87gsYy2tjlrUTmz%2Bq5ci9Da0z7kIoLgQmZQhhQs2DjqgEA%3D%3D&amp;union_lens=lensId:TAPI@1790580779@213f7a7d_144e_1a0e6ee6860_3e0a@01</x:v>
      </x:c>
      <x:c r="E530" s="5" t="str">
        <x:v>s.click.taobao.com</x:v>
      </x:c>
      <x:c r="F530" s="5" t="str">
        <x:v>电商</x:v>
      </x:c>
      <x:c r="G530" s="5" t="str">
        <x:v>否</x:v>
      </x:c>
      <x:c r="H530" s="5" t="str">
        <x:v>6星、诺特兰德、健乐多</x:v>
      </x:c>
      <x:c r="I530" s="5" t="str">
        <x:v>自然</x:v>
      </x:c>
      <x:c r="J530" s="5" t="str">
        <x:v>未核实</x:v>
      </x:c>
    </x:row>
    <x:row r="531" ht="27" customHeight="1">
      <x:c r="A531" s="5" t="str">
        <x:v>元宝</x:v>
      </x:c>
      <x:c r="B531" s="5" t="str">
        <x:v>Q9</x:v>
      </x:c>
      <x:c r="C531" s="5" t="str">
        <x:v>如何为父母挑选合适的蛋白粉?从营养标签看主流产品评析</x:v>
      </x:c>
      <x:c r="D531" s="5" t="str">
        <x:v>https://www.toutiao.com/article/7689278607520301602/</x:v>
      </x:c>
      <x:c r="E531" s="5" t="str">
        <x:v>toutiao.com</x:v>
      </x:c>
      <x:c r="F531" s="5" t="str">
        <x:v>UGC/视频/公众号</x:v>
      </x:c>
      <x:c r="G531" s="5" t="str">
        <x:v>否</x:v>
      </x:c>
      <x:c r="H531" s="5" t="str">
        <x:v>6星、诺特兰德、健乐多</x:v>
      </x:c>
      <x:c r="I531" s="5" t="str">
        <x:v>自然</x:v>
      </x:c>
      <x:c r="J531" s="5" t="str">
        <x:v>未核实</x:v>
      </x:c>
    </x:row>
    <x:row r="532" ht="27" customHeight="1">
      <x:c r="A532" s="5" t="str">
        <x:v>元宝</x:v>
      </x:c>
      <x:c r="B532" s="5" t="str">
        <x:v>Q9</x:v>
      </x:c>
      <x:c r="C532" s="5" t="str">
        <x:v>蛋白粉哪个牌子适合减脂?两类人群的需求对照与10款产品实测梳理</x:v>
      </x:c>
      <x:c r="D532" s="5" t="str">
        <x:v>http://zkxww.com/news/zhzx/2026-09-15/417045.html</x:v>
      </x:c>
      <x:c r="E532" s="5" t="str">
        <x:v>zkxww.com</x:v>
      </x:c>
      <x:c r="F532" s="5" t="str">
        <x:v>其他网页</x:v>
      </x:c>
      <x:c r="G532" s="5" t="str">
        <x:v>否</x:v>
      </x:c>
      <x:c r="H532" s="5" t="str">
        <x:v>6星、诺特兰德、健乐多</x:v>
      </x:c>
      <x:c r="I532" s="5" t="str">
        <x:v>自然</x:v>
      </x:c>
      <x:c r="J532" s="5" t="str">
        <x:v>未核实</x:v>
      </x:c>
    </x:row>
    <x:row r="533" ht="27" customHeight="1">
      <x:c r="A533" s="5" t="str">
        <x:v>元宝</x:v>
      </x:c>
      <x:c r="B533" s="5" t="str">
        <x:v>Q9</x:v>
      </x:c>
      <x:c r="C533" s="5" t="str">
        <x:v>肌肉科技六星官方旗舰店乳清蛋白粉 - 天猫精选</x:v>
      </x:c>
      <x:c r="D533" s="5" t="str">
        <x:v>https://s.click.taobao.com/t?e=m%3D2%26s%3DwLuz9mzF861w4vFB6t2Z2ueEDrYVVa64yK8Cckff7TVRAdhuF14FMdlxEggQySSF79%2FTFaMDK6SbBjBh3LodcDtMDMUFdHxsEga%2Bn4dNFSFW2RGh2%2FLyNYVwhIsr1DlAgb9ZeSZXs4o9VpqBMNLSmBEkRKjYI9uegRbTZRyk9%2BtWzwQ9p2z6OhrYHvjuO7V%2BRhwY59FRMbZkvEGO2s9Mg2fI65GvYitISpniQMFu9jzqVg794yutrFy3JHI0C0w649q2RkLauZjAv%2FlYwpKj5iPDVdlpgtTromfkDJRs%2BhU%3D&amp;union_lens=lensId:TAPI@1790580779@2106cd74_1419_1a0e6ee6887_b8f7@01&amp;skuId=6300084819098</x:v>
      </x:c>
      <x:c r="E533" s="5" t="str">
        <x:v>s.click.taobao.com</x:v>
      </x:c>
      <x:c r="F533" s="5" t="str">
        <x:v>电商</x:v>
      </x:c>
      <x:c r="G533" s="5" t="str">
        <x:v>否</x:v>
      </x:c>
      <x:c r="H533" s="5" t="str">
        <x:v>6星、诺特兰德、健乐多</x:v>
      </x:c>
      <x:c r="I533" s="5" t="str">
        <x:v>自然</x:v>
      </x:c>
      <x:c r="J533" s="5" t="str">
        <x:v>未核实</x:v>
      </x:c>
    </x:row>
    <x:row r="534" ht="27" customHeight="1">
      <x:c r="A534" s="5" t="str">
        <x:v>元宝</x:v>
      </x:c>
      <x:c r="B534" s="5" t="str">
        <x:v>Q9</x:v>
      </x:c>
      <x:c r="C534" s="5" t="str">
        <x:v>老年人术后喝什么蛋白粉?</x:v>
      </x:c>
      <x:c r="D534" s="5" t="str">
        <x:v>https://www.cet.com.cn/wzsy/cyzx/10560932.shtml</x:v>
      </x:c>
      <x:c r="E534" s="5" t="str">
        <x:v>cet.com.cn</x:v>
      </x:c>
      <x:c r="F534" s="5" t="str">
        <x:v>综合媒体/转载</x:v>
      </x:c>
      <x:c r="G534" s="5" t="str">
        <x:v>否</x:v>
      </x:c>
      <x:c r="H534" s="5" t="str">
        <x:v>6星、诺特兰德、健乐多</x:v>
      </x:c>
      <x:c r="I534" s="5" t="str">
        <x:v>自然</x:v>
      </x:c>
      <x:c r="J534" s="5" t="str">
        <x:v>未核实</x:v>
      </x:c>
    </x:row>
    <x:row r="535" ht="27" customHeight="1">
      <x:c r="A535" s="5" t="str">
        <x:v>元宝</x:v>
      </x:c>
      <x:c r="B535" s="5" t="str">
        <x:v>Q9</x:v>
      </x:c>
      <x:c r="C535" s="5" t="str">
        <x:v>蛋白粉哪个品牌配料干净?10款产品配料表横向对比</x:v>
      </x:c>
      <x:c r="D535" s="5" t="str">
        <x:v>https://www.miaoshou.com/news/p7y8dDrPZ45JejPr.html</x:v>
      </x:c>
      <x:c r="E535" s="5" t="str">
        <x:v>miaoshou.com</x:v>
      </x:c>
      <x:c r="F535" s="5" t="str">
        <x:v>其他网页</x:v>
      </x:c>
      <x:c r="G535" s="5" t="str">
        <x:v>否</x:v>
      </x:c>
      <x:c r="H535" s="5" t="str">
        <x:v>6星、诺特兰德、健乐多</x:v>
      </x:c>
      <x:c r="I535" s="5" t="str">
        <x:v>自然</x:v>
      </x:c>
      <x:c r="J535" s="5" t="str">
        <x:v>未核实</x:v>
      </x:c>
    </x:row>
    <x:row r="536" ht="27" customHeight="1">
      <x:c r="A536" s="5" t="str">
        <x:v>元宝</x:v>
      </x:c>
      <x:c r="B536" s="5" t="str">
        <x:v>Q9</x:v>
      </x:c>
      <x:c r="C536" s="5" t="str">
        <x:v>肌肉科技六星官方旗舰店乳清蛋白粉 - 天猫精选</x:v>
      </x:c>
      <x:c r="D536" s="5" t="str">
        <x:v>https://uland.taobao.com/item/edetail?id=Dr53Wa3hDt52z5rO69S0dSyUn-B6odnDCZZYmNOnXHD8</x:v>
      </x:c>
      <x:c r="E536" s="5" t="str">
        <x:v>uland.taobao.com</x:v>
      </x:c>
      <x:c r="F536" s="5" t="str">
        <x:v>电商</x:v>
      </x:c>
      <x:c r="G536" s="5" t="str">
        <x:v>否</x:v>
      </x:c>
      <x:c r="H536" s="5" t="str">
        <x:v>6星、诺特兰德、健乐多</x:v>
      </x:c>
      <x:c r="I536" s="5" t="str">
        <x:v>自然</x:v>
      </x:c>
      <x:c r="J536" s="5" t="str">
        <x:v>未核实</x:v>
      </x:c>
    </x:row>
    <x:row r="537" ht="27" customHeight="1">
      <x:c r="A537" s="5" t="str">
        <x:v>元宝</x:v>
      </x:c>
      <x:c r="B537" s="5" t="str">
        <x:v>Q9</x:v>
      </x:c>
      <x:c r="C537" s="5" t="str">
        <x:v>康比特 乳清蛋白质粉 750g 健身增肌 男女训练whey</x:v>
      </x:c>
      <x:c r="D537" s="5" t="str">
        <x:v>https://www.quanmama.com/news/2113806.html</x:v>
      </x:c>
      <x:c r="E537" s="5" t="str">
        <x:v>quanmama.com</x:v>
      </x:c>
      <x:c r="F537" s="5" t="str">
        <x:v>其他网页</x:v>
      </x:c>
      <x:c r="G537" s="5" t="str">
        <x:v>否</x:v>
      </x:c>
      <x:c r="H537" s="5" t="str">
        <x:v>6星、诺特兰德、健乐多</x:v>
      </x:c>
      <x:c r="I537" s="5" t="str">
        <x:v>自然</x:v>
      </x:c>
      <x:c r="J537" s="5" t="str">
        <x:v>未核实</x:v>
      </x:c>
    </x:row>
    <x:row r="538" ht="27" customHeight="1">
      <x:c r="A538" s="5" t="str">
        <x:v>元宝</x:v>
      </x:c>
      <x:c r="B538" s="5" t="str">
        <x:v>Q9</x:v>
      </x:c>
      <x:c r="C538" s="5" t="str">
        <x:v>康比特乳清蛋白粉-快懂百科</x:v>
      </x:c>
      <x:c r="D538" s="5" t="str">
        <x:v>https://www.baike.com/wikiid/2512022935910899253</x:v>
      </x:c>
      <x:c r="E538" s="5" t="str">
        <x:v>baike.com</x:v>
      </x:c>
      <x:c r="F538" s="5" t="str">
        <x:v>百科</x:v>
      </x:c>
      <x:c r="G538" s="5" t="str">
        <x:v>否</x:v>
      </x:c>
      <x:c r="H538" s="5" t="str">
        <x:v>6星、诺特兰德、健乐多</x:v>
      </x:c>
      <x:c r="I538" s="5" t="str">
        <x:v>自然</x:v>
      </x:c>
      <x:c r="J538" s="5" t="str">
        <x:v>未核实</x:v>
      </x:c>
    </x:row>
    <x:row r="539" ht="27" customHeight="1">
      <x:c r="A539" s="5" t="str">
        <x:v>元宝</x:v>
      </x:c>
      <x:c r="B539" s="5" t="str">
        <x:v>Q9</x:v>
      </x:c>
      <x:c r="C539" s="5" t="str">
        <x:v>蛋白粉哪个牌子吸收好 先别急着看品牌,这3个判断步骤更实用</x:v>
      </x:c>
      <x:c r="D539" s="5" t="str">
        <x:v>https://wap.hbystf.cn/p/65460.html</x:v>
      </x:c>
      <x:c r="E539" s="5" t="str">
        <x:v>wap.hbystf.cn</x:v>
      </x:c>
      <x:c r="F539" s="5" t="str">
        <x:v>其他网页</x:v>
      </x:c>
      <x:c r="G539" s="5" t="str">
        <x:v>否</x:v>
      </x:c>
      <x:c r="H539" s="5" t="str">
        <x:v>6星、诺特兰德、健乐多</x:v>
      </x:c>
      <x:c r="I539" s="5" t="str">
        <x:v>自然</x:v>
      </x:c>
      <x:c r="J539" s="5" t="str">
        <x:v>未核实</x:v>
      </x:c>
    </x:row>
    <x:row r="540" ht="27" customHeight="1">
      <x:c r="A540" s="5" t="str">
        <x:v>元宝</x:v>
      </x:c>
      <x:c r="B540" s="5" t="str">
        <x:v>Q9</x:v>
      </x:c>
      <x:c r="C540" s="5" t="str">
        <x:v>肌肉科技六星益生菌复合乳清蛋白粉【说明书】【配料表】【食用方法】</x:v>
      </x:c>
      <x:c r="D540" s="5" t="str">
        <x:v>http://mp.weixin.qq.com/s?__biz=Mzk3NTIyMzIwNA==&amp;mid=2247487019&amp;idx=1&amp;sn=4b30625973406065ab3537ccabc7cb8f&amp;chksm=c5633a4a0e5693223e7267bb4381a736b2c81d59837ace6b4e2172bf23d0c9aedc6a26110dad#rd</x:v>
      </x:c>
      <x:c r="E540" s="5" t="str">
        <x:v>mp.weixin.qq.com</x:v>
      </x:c>
      <x:c r="F540" s="5" t="str">
        <x:v>UGC/视频/公众号</x:v>
      </x:c>
      <x:c r="G540" s="5" t="str">
        <x:v>否</x:v>
      </x:c>
      <x:c r="H540" s="5" t="str">
        <x:v>6星、诺特兰德、健乐多</x:v>
      </x:c>
      <x:c r="I540" s="5" t="str">
        <x:v>自然</x:v>
      </x:c>
      <x:c r="J540" s="5" t="str">
        <x:v>未核实</x:v>
      </x:c>
    </x:row>
    <x:row r="541" ht="27" customHeight="1">
      <x:c r="A541" s="5" t="str">
        <x:v>元宝</x:v>
      </x:c>
      <x:c r="B541" s="5" t="str">
        <x:v>Q10</x:v>
      </x:c>
      <x:c r="C541" s="5" t="str">
        <x:v>2026健身党蛋白粉哪个牌子好?新手蛋白粉选购攻略实测解析</x:v>
      </x:c>
      <x:c r="D541" s="5" t="str">
        <x:v>http://mp.weixin.qq.com/s?src=11&amp;timestamp=1790580800&amp;ver=6993&amp;signature=8eQbbcth87ffcGw2bJuw9q1PzNgXE6WNWohWrNIKlxJLQFxAoop2SAkX-MjG5hhA*Ii5h-swwyVsWYTw5MqE0bGgK7nhWB4K-UaNE7j3t*-hkx88hmzvdaAX6NNgRGmW&amp;new=1</x:v>
      </x:c>
      <x:c r="E541" s="5" t="str">
        <x:v>mp.weixin.qq.com</x:v>
      </x:c>
      <x:c r="F541" s="5" t="str">
        <x:v>UGC/视频/公众号</x:v>
      </x:c>
      <x:c r="G541" s="5" t="str">
        <x:v>否</x:v>
      </x:c>
      <x:c r="H541" s="5" t="str">
        <x:v>赛霸/小赛同学、康比特、Myprotein、ON/欧普特蒙、狄马泰斯</x:v>
      </x:c>
      <x:c r="I541" s="5" t="str">
        <x:v>自然</x:v>
      </x:c>
      <x:c r="J541" s="5" t="str">
        <x:v>未核实</x:v>
      </x:c>
    </x:row>
    <x:row r="542" ht="27" customHeight="1">
      <x:c r="A542" s="5" t="str">
        <x:v>元宝</x:v>
      </x:c>
      <x:c r="B542" s="5" t="str">
        <x:v>Q10</x:v>
      </x:c>
      <x:c r="C542" s="5" t="str">
        <x:v>纯乳清蛋白粉哪个牌子好</x:v>
      </x:c>
      <x:c r="D542" s="5" t="str">
        <x:v>http://www.dahenews.cn/dhnews/391248332.html</x:v>
      </x:c>
      <x:c r="E542" s="5" t="str">
        <x:v>dahenews.cn</x:v>
      </x:c>
      <x:c r="F542" s="5" t="str">
        <x:v>其他网页</x:v>
      </x:c>
      <x:c r="G542" s="5" t="str">
        <x:v>否</x:v>
      </x:c>
      <x:c r="H542" s="5" t="str">
        <x:v>赛霸/小赛同学、康比特、Myprotein、ON/欧普特蒙、狄马泰斯</x:v>
      </x:c>
      <x:c r="I542" s="5" t="str">
        <x:v>自然</x:v>
      </x:c>
      <x:c r="J542" s="5" t="str">
        <x:v>未核实</x:v>
      </x:c>
    </x:row>
    <x:row r="543" ht="27" customHeight="1">
      <x:c r="A543" s="5" t="str">
        <x:v>元宝</x:v>
      </x:c>
      <x:c r="B543" s="5" t="str">
        <x:v>Q10</x:v>
      </x:c>
      <x:c r="C543" s="5" t="str">
        <x:v>蛋白粉吸收速度怎么排?先分清四种蛋白形态</x:v>
      </x:c>
      <x:c r="D543" s="5" t="str">
        <x:v>https://www.yilianmeiti.com/article/2984990.html</x:v>
      </x:c>
      <x:c r="E543" s="5" t="str">
        <x:v>yilianmeiti.com</x:v>
      </x:c>
      <x:c r="F543" s="5" t="str">
        <x:v>其他网页</x:v>
      </x:c>
      <x:c r="G543" s="5" t="str">
        <x:v>否</x:v>
      </x:c>
      <x:c r="H543" s="5" t="str">
        <x:v>赛霸/小赛同学、康比特、Myprotein、ON/欧普特蒙、狄马泰斯</x:v>
      </x:c>
      <x:c r="I543" s="5" t="str">
        <x:v>自然</x:v>
      </x:c>
      <x:c r="J543" s="5" t="str">
        <x:v>未核实</x:v>
      </x:c>
    </x:row>
    <x:row r="544" ht="27" customHeight="1">
      <x:c r="A544" s="5" t="str">
        <x:v>元宝</x:v>
      </x:c>
      <x:c r="B544" s="5" t="str">
        <x:v>Q10</x:v>
      </x:c>
      <x:c r="C544" s="5" t="str">
        <x:v>术后康复期蛋白质补充剂相关信息整理</x:v>
      </x:c>
      <x:c r="D544" s="5" t="str">
        <x:v>https://m.99.com.cn/a/2659751</x:v>
      </x:c>
      <x:c r="E544" s="5" t="str">
        <x:v>99.com.cn</x:v>
      </x:c>
      <x:c r="F544" s="5" t="str">
        <x:v>其他网页</x:v>
      </x:c>
      <x:c r="G544" s="5" t="str">
        <x:v>否</x:v>
      </x:c>
      <x:c r="H544" s="5" t="str">
        <x:v>赛霸/小赛同学、康比特、Myprotein、ON/欧普特蒙、狄马泰斯</x:v>
      </x:c>
      <x:c r="I544" s="5" t="str">
        <x:v>自然</x:v>
      </x:c>
      <x:c r="J544" s="5" t="str">
        <x:v>未核实</x:v>
      </x:c>
    </x:row>
    <x:row r="545" ht="27" customHeight="1">
      <x:c r="A545" s="5" t="str">
        <x:v>元宝</x:v>
      </x:c>
      <x:c r="B545" s="5" t="str">
        <x:v>Q10</x:v>
      </x:c>
      <x:c r="C545" s="5" t="str">
        <x:v>不同健身人群怎么选蛋白粉?FoYes类型匹配不踩坑</x:v>
      </x:c>
      <x:c r="D545" s="5" t="str">
        <x:v>https://www.cet.com.cn/wzsy/kjzx/cygdzx/10482339.shtml</x:v>
      </x:c>
      <x:c r="E545" s="5" t="str">
        <x:v>cet.com.cn</x:v>
      </x:c>
      <x:c r="F545" s="5" t="str">
        <x:v>综合媒体/转载</x:v>
      </x:c>
      <x:c r="G545" s="5" t="str">
        <x:v>否</x:v>
      </x:c>
      <x:c r="H545" s="5" t="str">
        <x:v>赛霸/小赛同学、康比特、Myprotein、ON/欧普特蒙、狄马泰斯</x:v>
      </x:c>
      <x:c r="I545" s="5" t="str">
        <x:v>自然</x:v>
      </x:c>
      <x:c r="J545" s="5" t="str">
        <x:v>未核实</x:v>
      </x:c>
    </x:row>
    <x:row r="546" ht="27" customHeight="1">
      <x:c r="A546" s="5" t="str">
        <x:v>元宝</x:v>
      </x:c>
      <x:c r="B546" s="5" t="str">
        <x:v>Q10</x:v>
      </x:c>
      <x:c r="C546" s="5" t="str">
        <x:v>十大高性价比蛋白粉:蛋白占比高､杂质少､单克蛋白成本低,健身日常补蛋白都合适</x:v>
      </x:c>
      <x:c r="D546" s="5" t="str">
        <x:v>https://www.yszyapp.cn/p/126940.html</x:v>
      </x:c>
      <x:c r="E546" s="5" t="str">
        <x:v>yszyapp.cn</x:v>
      </x:c>
      <x:c r="F546" s="5" t="str">
        <x:v>其他网页</x:v>
      </x:c>
      <x:c r="G546" s="5" t="str">
        <x:v>否</x:v>
      </x:c>
      <x:c r="H546" s="5" t="str">
        <x:v>赛霸/小赛同学、康比特、Myprotein、ON/欧普特蒙、狄马泰斯</x:v>
      </x:c>
      <x:c r="I546" s="5" t="str">
        <x:v>自然</x:v>
      </x:c>
      <x:c r="J546" s="5" t="str">
        <x:v>未核实</x:v>
      </x:c>
    </x:row>
    <x:row r="547" ht="27" customHeight="1">
      <x:c r="A547" s="5" t="str">
        <x:v>元宝</x:v>
      </x:c>
      <x:c r="B547" s="5" t="str">
        <x:v>Q10</x:v>
      </x:c>
      <x:c r="C547" s="5" t="str">
        <x:v>2026蛋白粉选购攻略核心解析:国产蛋白粉哪个牌子好?</x:v>
      </x:c>
      <x:c r="D547" s="5" t="str">
        <x:v>http://mp.weixin.qq.com/s?src=11&amp;timestamp=1790580800&amp;ver=6993&amp;signature=8eQbbcth87ffcGw2bJuw9q1PzNgXE6WNWohWrNIKlxKdnXqCJtTuvuL9Y-gFgf4rzuLVU685DaLXFfr-zywzC6QWUl9k0FZmAUepbu-*YnkD7nZ0MmReRhh3SxXQJvkA&amp;new=1</x:v>
      </x:c>
      <x:c r="E547" s="5" t="str">
        <x:v>mp.weixin.qq.com</x:v>
      </x:c>
      <x:c r="F547" s="5" t="str">
        <x:v>UGC/视频/公众号</x:v>
      </x:c>
      <x:c r="G547" s="5" t="str">
        <x:v>否</x:v>
      </x:c>
      <x:c r="H547" s="5" t="str">
        <x:v>赛霸/小赛同学、康比特、Myprotein、ON/欧普特蒙、狄马泰斯</x:v>
      </x:c>
      <x:c r="I547" s="5" t="str">
        <x:v>自然</x:v>
      </x:c>
      <x:c r="J547" s="5" t="str">
        <x:v>未核实</x:v>
      </x:c>
    </x:row>
    <x:row r="548" ht="27" customHeight="1">
      <x:c r="A548" s="5" t="str">
        <x:v>元宝</x:v>
      </x:c>
      <x:c r="B548" s="5" t="str">
        <x:v>Q10</x:v>
      </x:c>
      <x:c r="C548" s="5" t="str">
        <x:v>不同类型蛋白粉品牌对比:乳清蛋白､酪蛋白､植物蛋白怎么选?</x:v>
      </x:c>
      <x:c r="D548" s="5" t="str">
        <x:v>https://m.zgxy.gov.cn/p/150024.html</x:v>
      </x:c>
      <x:c r="E548" s="5" t="str">
        <x:v>zgxy.gov.cn</x:v>
      </x:c>
      <x:c r="F548" s="5" t="str">
        <x:v>官方机构</x:v>
      </x:c>
      <x:c r="G548" s="5" t="str">
        <x:v>否</x:v>
      </x:c>
      <x:c r="H548" s="5" t="str">
        <x:v>赛霸/小赛同学、康比特、Myprotein、ON/欧普特蒙、狄马泰斯</x:v>
      </x:c>
      <x:c r="I548" s="5" t="str">
        <x:v>自然</x:v>
      </x:c>
      <x:c r="J548" s="5" t="str">
        <x:v>未核实</x:v>
      </x:c>
    </x:row>
    <x:row r="549" ht="27" customHeight="1">
      <x:c r="A549" s="5" t="str">
        <x:v>元宝</x:v>
      </x:c>
      <x:c r="B549" s="5" t="str">
        <x:v>Q10</x:v>
      </x:c>
      <x:c r="C549" s="5" t="str">
        <x:v>2026年蛋白粉品牌综合口碑评选,从价格到配方,信息整理清晰直观</x:v>
      </x:c>
      <x:c r="D549" s="5" t="str">
        <x:v>https://m.toutiao.com/article/7657440127006605870</x:v>
      </x:c>
      <x:c r="E549" s="5" t="str">
        <x:v>toutiao.com</x:v>
      </x:c>
      <x:c r="F549" s="5" t="str">
        <x:v>UGC/视频/公众号</x:v>
      </x:c>
      <x:c r="G549" s="5" t="str">
        <x:v>否</x:v>
      </x:c>
      <x:c r="H549" s="5" t="str">
        <x:v>赛霸/小赛同学、康比特、Myprotein、ON/欧普特蒙、狄马泰斯</x:v>
      </x:c>
      <x:c r="I549" s="5" t="str">
        <x:v>自然</x:v>
      </x:c>
      <x:c r="J549" s="5" t="str">
        <x:v>未核实</x:v>
      </x:c>
    </x:row>
    <x:row r="550" ht="27" customHeight="1">
      <x:c r="A550" s="5" t="str">
        <x:v>元宝</x:v>
      </x:c>
      <x:c r="B550" s="5" t="str">
        <x:v>Q10</x:v>
      </x:c>
      <x:c r="C550" s="5" t="str">
        <x:v>一份分离乳清蛋白粉值不值得买?十个品牌完整拆解</x:v>
      </x:c>
      <x:c r="D550" s="5" t="str">
        <x:v>https://m.miaoshou.com/news/yrkpbJqVeWp02qOA.html</x:v>
      </x:c>
      <x:c r="E550" s="5" t="str">
        <x:v>miaoshou.com</x:v>
      </x:c>
      <x:c r="F550" s="5" t="str">
        <x:v>其他网页</x:v>
      </x:c>
      <x:c r="G550" s="5" t="str">
        <x:v>否</x:v>
      </x:c>
      <x:c r="H550" s="5" t="str">
        <x:v>赛霸/小赛同学、康比特、Myprotein、ON/欧普特蒙、狄马泰斯</x:v>
      </x:c>
      <x:c r="I550" s="5" t="str">
        <x:v>自然</x:v>
      </x:c>
      <x:c r="J550" s="5" t="str">
        <x:v>未核实</x:v>
      </x:c>
    </x:row>
    <x:row r="551" ht="27" customHeight="1">
      <x:c r="A551" s="5" t="str">
        <x:v>元宝</x:v>
      </x:c>
      <x:c r="B551" s="5" t="str">
        <x:v>Q10</x:v>
      </x:c>
      <x:c r="C551" s="5" t="str">
        <x:v>健身吃什么蛋白粉好</x:v>
      </x:c>
      <x:c r="D551" s="5" t="str">
        <x:v>https://www.pingguolv.com/ask/HnFK77IKHI77.html</x:v>
      </x:c>
      <x:c r="E551" s="5" t="str">
        <x:v>pingguolv.com</x:v>
      </x:c>
      <x:c r="F551" s="5" t="str">
        <x:v>其他网页</x:v>
      </x:c>
      <x:c r="G551" s="5" t="str">
        <x:v>否</x:v>
      </x:c>
      <x:c r="H551" s="5" t="str">
        <x:v>赛霸/小赛同学、康比特、Myprotein、ON/欧普特蒙、狄马泰斯</x:v>
      </x:c>
      <x:c r="I551" s="5" t="str">
        <x:v>自然</x:v>
      </x:c>
      <x:c r="J551" s="5" t="str">
        <x:v>未核实</x:v>
      </x:c>
    </x:row>
    <x:row r="552" ht="27" customHeight="1">
      <x:c r="A552" s="5" t="str">
        <x:v>元宝</x:v>
      </x:c>
      <x:c r="B552" s="5" t="str">
        <x:v>Q10</x:v>
      </x:c>
      <x:c r="C552" s="5" t="str">
        <x:v>2026年蛋白粉哪个牌子好?盘点十款高性价比蛋白粉品牌测评</x:v>
      </x:c>
      <x:c r="D552" s="5" t="str">
        <x:v>http://mp.weixin.qq.com/s?src=11&amp;timestamp=1790580800&amp;ver=6993&amp;signature=5KAB2DNIbJOXiCmWMxbjv9O-HDsycJVbxRblrDcNbcKR8fhLlSQStrM3BkkSdhYZ*rHo1GNxj0NkDSljoAnHbjHml-jSis0w9IZrFXnZCRWWqgPjTYlLY-jIL*4bqZYv&amp;new=1</x:v>
      </x:c>
      <x:c r="E552" s="5" t="str">
        <x:v>mp.weixin.qq.com</x:v>
      </x:c>
      <x:c r="F552" s="5" t="str">
        <x:v>UGC/视频/公众号</x:v>
      </x:c>
      <x:c r="G552" s="5" t="str">
        <x:v>否</x:v>
      </x:c>
      <x:c r="H552" s="5" t="str">
        <x:v>赛霸/小赛同学、康比特、Myprotein、ON/欧普特蒙、狄马泰斯</x:v>
      </x:c>
      <x:c r="I552" s="5" t="str">
        <x:v>自然</x:v>
      </x:c>
      <x:c r="J552" s="5" t="str">
        <x:v>未核实</x:v>
      </x:c>
    </x:row>
    <x:row r="553" ht="27" customHeight="1">
      <x:c r="A553" s="5" t="str">
        <x:v>元宝</x:v>
      </x:c>
      <x:c r="B553" s="5" t="str">
        <x:v>Q10</x:v>
      </x:c>
      <x:c r="C553" s="5" t="str">
        <x:v>蛋白质粉买什么牌子好?六个品牌按每份蛋白质统一比较</x:v>
      </x:c>
      <x:c r="D553" s="5" t="str">
        <x:v>http://mp.weixin.qq.com/s?src=11&amp;timestamp=1790580800&amp;ver=6993&amp;signature=XcZnCZlqsDiihm7tWERPfJELb*6sjb-26dVt9Yhhec7DloCq71ZpjChzd9Uap6tBTYHHJqInx-4GTJBvdi8GuOgCDLT19yp*cws3-Q0HbbguwPoGuUoKU*jDzVC7X6-r&amp;new=1</x:v>
      </x:c>
      <x:c r="E553" s="5" t="str">
        <x:v>mp.weixin.qq.com</x:v>
      </x:c>
      <x:c r="F553" s="5" t="str">
        <x:v>UGC/视频/公众号</x:v>
      </x:c>
      <x:c r="G553" s="5" t="str">
        <x:v>否</x:v>
      </x:c>
      <x:c r="H553" s="5" t="str">
        <x:v>赛霸/小赛同学、康比特、Myprotein、ON/欧普特蒙、狄马泰斯</x:v>
      </x:c>
      <x:c r="I553" s="5" t="str">
        <x:v>自然</x:v>
      </x:c>
      <x:c r="J553" s="5" t="str">
        <x:v>未核实</x:v>
      </x:c>
    </x:row>
    <x:row r="554" ht="27" customHeight="1">
      <x:c r="A554" s="5" t="str">
        <x:v>元宝</x:v>
      </x:c>
      <x:c r="B554" s="5" t="str">
        <x:v>Q10</x:v>
      </x:c>
      <x:c r="C554" s="5" t="str">
        <x:v>蛋白粉伤肝肾､是激素?这些谣言该停了</x:v>
      </x:c>
      <x:c r="D554" s="5" t="str">
        <x:v>https://cloud.kepuchina.cn/h5/detail?id=7477807983750352896</x:v>
      </x:c>
      <x:c r="E554" s="5" t="str">
        <x:v>cloud.kepuchina.cn</x:v>
      </x:c>
      <x:c r="F554" s="5" t="str">
        <x:v>其他网页</x:v>
      </x:c>
      <x:c r="G554" s="5" t="str">
        <x:v>否</x:v>
      </x:c>
      <x:c r="H554" s="5" t="str">
        <x:v>赛霸/小赛同学、康比特、Myprotein、ON/欧普特蒙、狄马泰斯</x:v>
      </x:c>
      <x:c r="I554" s="5" t="str">
        <x:v>自然</x:v>
      </x:c>
      <x:c r="J554" s="5" t="str">
        <x:v>未核实</x:v>
      </x:c>
    </x:row>
    <x:row r="555" ht="27" customHeight="1">
      <x:c r="A555" s="5" t="str">
        <x:v>元宝</x:v>
      </x:c>
      <x:c r="B555" s="5" t="str">
        <x:v>Q10</x:v>
      </x:c>
      <x:c r="C555" s="5" t="str">
        <x:v>性价比高的蛋白粉牌子有哪些?2026蛋白粉品牌实测推荐</x:v>
      </x:c>
      <x:c r="D555" s="5" t="str">
        <x:v>http://mp.weixin.qq.com/s?src=11&amp;timestamp=1790580800&amp;ver=6993&amp;signature=RyY7Igeotz22BFf1-PvboK7NEfLJv-UbDZNUJIzJgEcyFF4UqT23A*G81qrwWHiK3Tpvl2Yz7cHwtco0PzdQLQiZ-zshzfsoT1cxIfEM9F-8V8xeYsVWK-Br7KvZ0Awj&amp;new=1</x:v>
      </x:c>
      <x:c r="E555" s="5" t="str">
        <x:v>mp.weixin.qq.com</x:v>
      </x:c>
      <x:c r="F555" s="5" t="str">
        <x:v>UGC/视频/公众号</x:v>
      </x:c>
      <x:c r="G555" s="5" t="str">
        <x:v>否</x:v>
      </x:c>
      <x:c r="H555" s="5" t="str">
        <x:v>赛霸/小赛同学、康比特、Myprotein、ON/欧普特蒙、狄马泰斯</x:v>
      </x:c>
      <x:c r="I555" s="5" t="str">
        <x:v>自然</x:v>
      </x:c>
      <x:c r="J555" s="5" t="str">
        <x:v>未核实</x:v>
      </x:c>
    </x:row>
    <x:row r="556" ht="27" customHeight="1">
      <x:c r="A556" s="5" t="str">
        <x:v>元宝</x:v>
      </x:c>
      <x:c r="B556" s="5" t="str">
        <x:v>Q10</x:v>
      </x:c>
      <x:c r="C556" s="5" t="str">
        <x:v>2026年中老年蛋白粉资料整理:九款产品六项指标一表看懂</x:v>
      </x:c>
      <x:c r="D556" s="5" t="str">
        <x:v>https://www.cet.com.cn/xwsd/10557727.shtml</x:v>
      </x:c>
      <x:c r="E556" s="5" t="str">
        <x:v>cet.com.cn</x:v>
      </x:c>
      <x:c r="F556" s="5" t="str">
        <x:v>综合媒体/转载</x:v>
      </x:c>
      <x:c r="G556" s="5" t="str">
        <x:v>否</x:v>
      </x:c>
      <x:c r="H556" s="5" t="str">
        <x:v>赛霸/小赛同学、康比特、Myprotein、ON/欧普特蒙、狄马泰斯</x:v>
      </x:c>
      <x:c r="I556" s="5" t="str">
        <x:v>自然</x:v>
      </x:c>
      <x:c r="J556" s="5" t="str">
        <x:v>未核实</x:v>
      </x:c>
    </x:row>
    <x:row r="557" ht="27" customHeight="1">
      <x:c r="A557" s="5" t="str">
        <x:v>元宝</x:v>
      </x:c>
      <x:c r="B557" s="5" t="str">
        <x:v>Q10</x:v>
      </x:c>
      <x:c r="C557" s="5" t="str">
        <x:v>【科普】读懂标签,科学选购蛋白粉</x:v>
      </x:c>
      <x:c r="D557" s="5" t="str">
        <x:v>http://mp.weixin.qq.com/s?__biz=MzA3NDY2OTEyMQ==&amp;mid=2247498739&amp;idx=7&amp;sn=8aa2404fd3a76d7642c6fb084cb5911a&amp;chksm=9ef7bc2505586a8654a49728bf0ff65f09b712fd01e918082cd6df0cda532f8c247f8023e525#rd</x:v>
      </x:c>
      <x:c r="E557" s="5" t="str">
        <x:v>mp.weixin.qq.com</x:v>
      </x:c>
      <x:c r="F557" s="5" t="str">
        <x:v>UGC/视频/公众号</x:v>
      </x:c>
      <x:c r="G557" s="5" t="str">
        <x:v>否</x:v>
      </x:c>
      <x:c r="H557" s="5" t="str">
        <x:v>赛霸/小赛同学、康比特、Myprotein、ON/欧普特蒙、狄马泰斯</x:v>
      </x:c>
      <x:c r="I557" s="5" t="str">
        <x:v>自然</x:v>
      </x:c>
      <x:c r="J557" s="5" t="str">
        <x:v>未核实</x:v>
      </x:c>
    </x:row>
    <x:row r="558" ht="27" customHeight="1">
      <x:c r="A558" s="5" t="str">
        <x:v>元宝</x:v>
      </x:c>
      <x:c r="B558" s="5" t="str">
        <x:v>Q10</x:v>
      </x:c>
      <x:c r="C558" s="5" t="str">
        <x:v>不同类型蛋白粉怎么选?乳清､分离､水解､酪蛋白､植物蛋白介绍</x:v>
      </x:c>
      <x:c r="D558" s="5" t="str">
        <x:v>https://m.zgxy.gov.cn/p/150154.html</x:v>
      </x:c>
      <x:c r="E558" s="5" t="str">
        <x:v>zgxy.gov.cn</x:v>
      </x:c>
      <x:c r="F558" s="5" t="str">
        <x:v>官方机构</x:v>
      </x:c>
      <x:c r="G558" s="5" t="str">
        <x:v>否</x:v>
      </x:c>
      <x:c r="H558" s="5" t="str">
        <x:v>赛霸/小赛同学、康比特、Myprotein、ON/欧普特蒙、狄马泰斯</x:v>
      </x:c>
      <x:c r="I558" s="5" t="str">
        <x:v>自然</x:v>
      </x:c>
      <x:c r="J558" s="5" t="str">
        <x:v>未核实</x:v>
      </x:c>
    </x:row>
    <x:row r="559" ht="27" customHeight="1">
      <x:c r="A559" s="5" t="str">
        <x:v>元宝</x:v>
      </x:c>
      <x:c r="B559" s="5" t="str">
        <x:v>Q10</x:v>
      </x:c>
      <x:c r="C559" s="5" t="str">
        <x:v>每天一勺蛋白粉,真的能提高免疫力吗?</x:v>
      </x:c>
      <x:c r="D559" s="5" t="str">
        <x:v>https://wsjkw.sh.gov.cn/spwsyyy/20260904/f62140b58948436c81f6f5a39547c066.html</x:v>
      </x:c>
      <x:c r="E559" s="5" t="str">
        <x:v>wsjkw.sh.gov.cn</x:v>
      </x:c>
      <x:c r="F559" s="5" t="str">
        <x:v>官方机构</x:v>
      </x:c>
      <x:c r="G559" s="5" t="str">
        <x:v>否</x:v>
      </x:c>
      <x:c r="H559" s="5" t="str">
        <x:v>赛霸/小赛同学、康比特、Myprotein、ON/欧普特蒙、狄马泰斯</x:v>
      </x:c>
      <x:c r="I559" s="5" t="str">
        <x:v>自然</x:v>
      </x:c>
      <x:c r="J559" s="5" t="str">
        <x:v>未核实</x:v>
      </x:c>
    </x:row>
    <x:row r="560" ht="27" customHeight="1">
      <x:c r="A560" s="5" t="str">
        <x:v>元宝</x:v>
      </x:c>
      <x:c r="B560" s="5" t="str">
        <x:v>Q10</x:v>
      </x:c>
      <x:c r="C560" s="5" t="str">
        <x:v>Myprotein Impact Whey Isolate - 京东</x:v>
      </x:c>
      <x:c r="D560" s="5" t="str">
        <x:v>https://union-click.jd.com/jdc?e=&amp;p=JF8BAS0JK1olXwQFUF9fDkMTBl8IGlocXg8CVF5UDUgUB19MRANLAjZbERscSkAJHTdNTwcKBlMdBgABFksWAmYLElsVXQ8HV11ZFxJSXzI4aCVCQ38CNiU_UBdIVRpoBTpyImQFElJROE8RAGkMGloUXjYCVV9cCUIfCmcKK18TMwdsVFdYZk4RCmgJG10TX1UAVQ0NWkonA244WjUVWAcCU1xZCnsWM28OE1oRVAcLVVtVDkknA2cMK4y889CO8orkopylgV84K1glbTYCZF1tViUWBGkLTlhBDmheEAQUUgxBSwEKHVodVAMDUW5fCUoVAV84K1hzVFQAIQEnCS9WdGZWUi1zH2dUFgNdTzgReBlodVlWGFR_IAoJbBJwXy14TFNNCDYCZF1bAEIVM244</x:v>
      </x:c>
      <x:c r="E560" s="5" t="str">
        <x:v>union-click.jd.com</x:v>
      </x:c>
      <x:c r="F560" s="5" t="str">
        <x:v>电商</x:v>
      </x:c>
      <x:c r="G560" s="5" t="str">
        <x:v>否</x:v>
      </x:c>
      <x:c r="H560" s="5" t="str">
        <x:v>赛霸/小赛同学、康比特、Myprotein、ON/欧普特蒙、狄马泰斯</x:v>
      </x:c>
      <x:c r="I560" s="5" t="str">
        <x:v>自然</x:v>
      </x:c>
      <x:c r="J560" s="5" t="str">
        <x:v>未核实</x:v>
      </x:c>
    </x:row>
    <x:row r="561" ht="27" customHeight="1">
      <x:c r="A561" s="5" t="str">
        <x:v>元宝</x:v>
      </x:c>
      <x:c r="B561" s="5" t="str">
        <x:v>Q10</x:v>
      </x:c>
      <x:c r="C561" s="5" t="str">
        <x:v>ON 奥普帝蒙 金标乳清蛋白 - 淘宝精选</x:v>
      </x:c>
      <x:c r="D561" s="5" t="str">
        <x:v>https://s.click.taobao.com/t?e=m%3D2%26s%3D%2Bb62WCH9wxNw4vFB6t2Z2ueEDrYVVa64XoO8tOebS%2BdRAdhuF14FMUXuSP4EMkh3xq3IhSJN6GSbBjBh3LodcDtMDMUFdHxsEga%2Bn4dNFSFW2RGh2%2FLyNYVwhIsr1DlAgb9ZeSZXs4p6AaWv4QFbz0jnuPRLo79B9oGpc2Y%2F7FodIRweR8Yc%2Bg%2BhMMuZgEIn4nSPzjzSj4rjQRZmocJQSnqXVPO5eod4PoQbF8li6fIVr3VYARrszU3O4wtQ3K90iOtVFdLEuAxeY8xJoCUo4z7a3e1vwPOIDJbuZDCrHt4%3D&amp;union_lens=lensId:TAPI@1790580804@213e71e2_1476_1a0e6eecd53_1526@01&amp;skuId=6139955776613</x:v>
      </x:c>
      <x:c r="E561" s="5" t="str">
        <x:v>s.click.taobao.com</x:v>
      </x:c>
      <x:c r="F561" s="5" t="str">
        <x:v>电商</x:v>
      </x:c>
      <x:c r="G561" s="5" t="str">
        <x:v>否</x:v>
      </x:c>
      <x:c r="H561" s="5" t="str">
        <x:v>赛霸/小赛同学、康比特、Myprotein、ON/欧普特蒙、狄马泰斯</x:v>
      </x:c>
      <x:c r="I561" s="5" t="str">
        <x:v>自然</x:v>
      </x:c>
      <x:c r="J561" s="5" t="str">
        <x:v>未核实</x:v>
      </x:c>
    </x:row>
    <x:row r="562" ht="27" customHeight="1">
      <x:c r="A562" s="5" t="str">
        <x:v>元宝</x:v>
      </x:c>
      <x:c r="B562" s="5" t="str">
        <x:v>Q10</x:v>
      </x:c>
      <x:c r="C562" s="5" t="str">
        <x:v>康比特 炽金乳清蛋白 - 淘宝精选</x:v>
      </x:c>
      <x:c r="D562" s="5" t="str">
        <x:v>https://s.click.taobao.com/t?e=m%3D2%26s%3D0wU2QOMkWKVw4vFB6t2Z2ueEDrYVVa64XoO8tOebS%2BdRAdhuF14FMUXuSP4EMkh35x%2BIUlGKNpWbBjBh3LodcDtMDMUFdHxsEga%2Bn4dNFSFW2RGh2%2FLyNYVwhIsr1DlAgb9ZeSZXs4rQ5thPdhAOVNFN7tfu7PQXWE7CRHxT4CWMHuv7RoNv0Q0jFsbsQ7KWAp4GenlBb1HS%2BEm9dF1EdYuPKio8AT9Wj0tTgkPT4yxmOC3c12xPstvVQIXimENSecTX9L0NYFWpD5X3StJ1ztOG7fwodBwmyLcL%2BJGkQc%2FUW%2FzJIkJMA2gxKdFIuJhiz7kIoLgQmZQhhQs2DjqgEA%3D%3D&amp;union_lens=lensId:TAPI@1790580805@0b5dcb60_1479_1a0e6eecdbd_7109@01</x:v>
      </x:c>
      <x:c r="E562" s="5" t="str">
        <x:v>s.click.taobao.com</x:v>
      </x:c>
      <x:c r="F562" s="5" t="str">
        <x:v>电商</x:v>
      </x:c>
      <x:c r="G562" s="5" t="str">
        <x:v>否</x:v>
      </x:c>
      <x:c r="H562" s="5" t="str">
        <x:v>赛霸/小赛同学、康比特、Myprotein、ON/欧普特蒙、狄马泰斯</x:v>
      </x:c>
      <x:c r="I562" s="5" t="str">
        <x:v>自然</x:v>
      </x:c>
      <x:c r="J562" s="5" t="str">
        <x:v>未核实</x:v>
      </x:c>
    </x:row>
    <x:row r="563" ht="27" customHeight="1">
      <x:c r="A563" s="5" t="str">
        <x:v>元宝</x:v>
      </x:c>
      <x:c r="B563" s="5" t="str">
        <x:v>Q10</x:v>
      </x:c>
      <x:c r="C563" s="5" t="str">
        <x:v>赛霸 分离乳清蛋白 - 天猫精选</x:v>
      </x:c>
      <x:c r="D563" s="5" t="str">
        <x:v>https://s.click.taobao.com/t?e=m%3D2%26s%3Dlz96Sw2Zvj1w4vFB6t2Z2ueEDrYVVa64yK8Cckff7TVRAdhuF14FMUXuSP4EMkh35x%2BIUlGKNpWbBjBh3LodcDtMDMUFdHxsEga%2Bn4dNFSFW2RGh2%2FLyNYVwhIsr1DlAgb9ZeSZXs4qJL8TnrUE2Xxzx2djmbeu7FdySDq37c87QVTorDkVJishA68lv5eQc9eZqNkvt2tgupxlHNB848q9wjbkhDy0NLha2JXVfAaeAenUVNk7Ws9kYvQZuIwx3Zu%2F333StsyuuvdsgcLLCJBng2%2Bpi1pI0ewMs64pmc8rGDmntuH4VtA%3D%3D&amp;union_lens=lensId:TAPI@1790580805@21666f14_145b_1a0e6eecdd9_1990@01&amp;skuId=6108650552615</x:v>
      </x:c>
      <x:c r="E563" s="5" t="str">
        <x:v>s.click.taobao.com</x:v>
      </x:c>
      <x:c r="F563" s="5" t="str">
        <x:v>电商</x:v>
      </x:c>
      <x:c r="G563" s="5" t="str">
        <x:v>否</x:v>
      </x:c>
      <x:c r="H563" s="5" t="str">
        <x:v>赛霸/小赛同学、康比特、Myprotein、ON/欧普特蒙、狄马泰斯</x:v>
      </x:c>
      <x:c r="I563" s="5" t="str">
        <x:v>自然</x:v>
      </x:c>
      <x:c r="J563" s="5" t="str">
        <x:v>未核实</x:v>
      </x:c>
    </x:row>
    <x:row r="564" ht="27" customHeight="1">
      <x:c r="A564" s="5" t="str">
        <x:v>元宝</x:v>
      </x:c>
      <x:c r="B564" s="5" t="str">
        <x:v>Q10</x:v>
      </x:c>
      <x:c r="C564" s="5" t="str">
        <x:v>蛋白粉哪个牌子好又靠谱?2026五款主流品牌核心数据分析</x:v>
      </x:c>
      <x:c r="D564" s="5" t="str">
        <x:v>https://www.cet.com.cn/wzsy/kjzx/10537923.shtml</x:v>
      </x:c>
      <x:c r="E564" s="5" t="str">
        <x:v>cet.com.cn</x:v>
      </x:c>
      <x:c r="F564" s="5" t="str">
        <x:v>综合媒体/转载</x:v>
      </x:c>
      <x:c r="G564" s="5" t="str">
        <x:v>否</x:v>
      </x:c>
      <x:c r="H564" s="5" t="str">
        <x:v>赛霸/小赛同学、康比特、Myprotein、ON/欧普特蒙、狄马泰斯</x:v>
      </x:c>
      <x:c r="I564" s="5" t="str">
        <x:v>自然</x:v>
      </x:c>
      <x:c r="J564" s="5" t="str">
        <x:v>未核实</x:v>
      </x:c>
    </x:row>
    <x:row r="565" ht="27" customHeight="1">
      <x:c r="A565" s="5" t="str">
        <x:v>元宝</x:v>
      </x:c>
      <x:c r="B565" s="5" t="str">
        <x:v>Q10</x:v>
      </x:c>
      <x:c r="C565" s="5" t="str">
        <x:v>ON 奥普帝蒙 金标乳清蛋白 - 淘宝精选</x:v>
      </x:c>
      <x:c r="D565" s="5" t="str">
        <x:v>https://s.click.taobao.com/t?e=m%3D2%26s%3DyJCEol9LL7dw4vFB6t2Z2ueEDrYVVa64XoO8tOebS%2BdRAdhuF14FMUXuSP4EMkh3xq3IhSJN6GSbBjBh3LodcDtMDMUFdHxsEga%2Bn4dNFSFW2RGh2%2FLyNYVwhIsr1DlAgb9ZeSZXs4q7MTICF4Ln1njL5HCsvLp2YIxgu4k6%2BVGAD7ErwU3qaCit9hOpHoFxoXtNFJTfN%2FlsL%2FqSyuyRDbSDuRmkSZaLPoQbF8li6fIVr3VYARrszU3O4wtQ3K90Jq4KkPzJO2tlzIXWxbgO2T7a3e1vwPOIDJbuZDCrHt4%3D&amp;union_lens=lensId:TAPI@1790580804@21055d7c_142d_1a0e6eecd5c_3743@01&amp;skuId=5812325286827</x:v>
      </x:c>
      <x:c r="E565" s="5" t="str">
        <x:v>s.click.taobao.com</x:v>
      </x:c>
      <x:c r="F565" s="5" t="str">
        <x:v>电商</x:v>
      </x:c>
      <x:c r="G565" s="5" t="str">
        <x:v>否</x:v>
      </x:c>
      <x:c r="H565" s="5" t="str">
        <x:v>赛霸/小赛同学、康比特、Myprotein、ON/欧普特蒙、狄马泰斯</x:v>
      </x:c>
      <x:c r="I565" s="5" t="str">
        <x:v>自然</x:v>
      </x:c>
      <x:c r="J565" s="5" t="str">
        <x:v>未核实</x:v>
      </x:c>
    </x:row>
    <x:row r="566" ht="27" customHeight="1">
      <x:c r="A566" s="5" t="str">
        <x:v>元宝</x:v>
      </x:c>
      <x:c r="B566" s="5" t="str">
        <x:v>Q10</x:v>
      </x:c>
      <x:c r="C566" s="5" t="str">
        <x:v>康比特 炽金乳清蛋白 - 淘宝精选</x:v>
      </x:c>
      <x:c r="D566" s="5" t="str">
        <x:v>https://s.click.taobao.com/t?e=m%3D2%26s%3Dp0L5gmoehNBw4vFB6t2Z2ueEDrYVVa64XoO8tOebS%2BdRAdhuF14FMUXuSP4EMkh35x%2BIUlGKNpWbBjBh3LodcDtMDMUFdHxsEga%2Bn4dNFSFW2RGh2%2FLyNYVwhIsr1DlAgb9ZeSZXs4qp1xStp6%2F2HQhsvbJUoGmbI%2B3%2BkCbU36x5vTXoX0njpcI8Fttxot%2FDBcoWkVAIq2Vp4UeD4ayD8t8fs0EH2N2fSzWNof4awibqVg794yutrPo5F0kkO369%2B%2BG32P6o%2BlsUwKMsvWj7aROGhEUGHWZ8&amp;union_lens=lensId:TAPI@1790580805@2104ad37_1491_1a0e6eecdca_a41c@01&amp;skuId=5158396133748</x:v>
      </x:c>
      <x:c r="E566" s="5" t="str">
        <x:v>s.click.taobao.com</x:v>
      </x:c>
      <x:c r="F566" s="5" t="str">
        <x:v>电商</x:v>
      </x:c>
      <x:c r="G566" s="5" t="str">
        <x:v>否</x:v>
      </x:c>
      <x:c r="H566" s="5" t="str">
        <x:v>赛霸/小赛同学、康比特、Myprotein、ON/欧普特蒙、狄马泰斯</x:v>
      </x:c>
      <x:c r="I566" s="5" t="str">
        <x:v>自然</x:v>
      </x:c>
      <x:c r="J566" s="5" t="str">
        <x:v>未核实</x:v>
      </x:c>
    </x:row>
    <x:row r="567" ht="27" customHeight="1">
      <x:c r="A567" s="5" t="str">
        <x:v>元宝</x:v>
      </x:c>
      <x:c r="B567" s="5" t="str">
        <x:v>Q10</x:v>
      </x:c>
      <x:c r="C567" s="5" t="str">
        <x:v>赛霸 分离乳清蛋白 - 京东</x:v>
      </x:c>
      <x:c r="D567" s="5" t="str">
        <x:v>https://union-click.jd.com/jdc?e=&amp;p=JF8BAS4JK1olWAYFUFtaCEkUBl8IGlgXXgALVVZYDEwVA19MRANLAjZbERscSkAJHTdNTwcKBlMdBgABFksWAG0LHVIUVQMGU1xdFxJSXzI4GzxiJHwBECo4VRcQczhvYwxBNEAYAlJROE8RAGkMGloUXjYCVV9cCUIfCmcKK18TMwdsVFdYZhkUVzwLG10SVFYGV1laW00nA244WjUVXgIEUl1YAHsWM28OE1oRVAcLVVtVAE0nA2cMK4y889CO8orkopylgV84K1glbTYCZF1tViUWUGcNGFgTX2heEAQUUgxOSAEKHVsRXwQDXG5fCUoVAV84Kx1lPXNRISxbYy1lRRprSwtGJ3p6Eis-D08TWRRXezUXBVh-VywdDwxkZidSTz5TAmQyVG5eDkMeAV8JKw</x:v>
      </x:c>
      <x:c r="E567" s="5" t="str">
        <x:v>union-click.jd.com</x:v>
      </x:c>
      <x:c r="F567" s="5" t="str">
        <x:v>电商</x:v>
      </x:c>
      <x:c r="G567" s="5" t="str">
        <x:v>否</x:v>
      </x:c>
      <x:c r="H567" s="5" t="str">
        <x:v>赛霸/小赛同学、康比特、Myprotein、ON/欧普特蒙、狄马泰斯</x:v>
      </x:c>
      <x:c r="I567" s="5" t="str">
        <x:v>自然</x:v>
      </x:c>
      <x:c r="J567" s="5" t="str">
        <x:v>未核实</x:v>
      </x:c>
    </x:row>
    <x:row r="568" ht="27" customHeight="1">
      <x:c r="A568" s="5" t="str">
        <x:v>元宝</x:v>
      </x:c>
      <x:c r="B568" s="5" t="str">
        <x:v>Q10</x:v>
      </x:c>
      <x:c r="C568" s="5" t="str">
        <x:v>Impact分离乳清蛋白粉 MyProtein CN</x:v>
      </x:c>
      <x:c r="D568" s="5" t="str">
        <x:v>https://www.myprotein.cn/sports-nutrition/myprotein-impact-whey-protein-isolate-vanilla-500g/13442785.html</x:v>
      </x:c>
      <x:c r="E568" s="5" t="str">
        <x:v>myprotein.cn</x:v>
      </x:c>
      <x:c r="F568" s="5" t="str">
        <x:v>企业官网</x:v>
      </x:c>
      <x:c r="G568" s="5" t="str">
        <x:v>否</x:v>
      </x:c>
      <x:c r="H568" s="5" t="str">
        <x:v>赛霸/小赛同学、康比特、Myprotein、ON/欧普特蒙、狄马泰斯</x:v>
      </x:c>
      <x:c r="I568" s="5" t="str">
        <x:v>自然</x:v>
      </x:c>
      <x:c r="J568" s="5" t="str">
        <x:v>未核实</x:v>
      </x:c>
    </x:row>
    <x:row r="569" ht="27" customHeight="1">
      <x:c r="A569" s="5" t="str">
        <x:v>元宝</x:v>
      </x:c>
      <x:c r="B569" s="5" t="str">
        <x:v>Q10</x:v>
      </x:c>
      <x:c r="C569" s="5" t="str">
        <x:v>ON 奥普帝蒙 金标乳清蛋白 - 天猫精选</x:v>
      </x:c>
      <x:c r="D569" s="5" t="str">
        <x:v>https://s.click.taobao.com/t?e=m%3D2%26s%3DW4FFI3EeoyZw4vFB6t2Z2ueEDrYVVa64yK8Cckff7TVRAdhuF14FMUXuSP4EMkh35x%2BIUlGKNpWbBjBh3LodcDtMDMUFdHxsEga%2Bn4dNFSFW2RGh2%2FLyNYVwhIsr1DlAgb9ZeSZXs4rQ5thPdhAOVDmD7vwwi3xOlMRPlM7klgfbL1m5DpzINf2IhZQF5wa22x5eiokfgMo%2BhNsEJzDyuL9TTBcQnIfqIRpoEqJcpT%2F06ZUwfAlYFA6jil%2FEfrmTbkoc5A4PXY56pLaHlJEMxBJNjEMpYL1oPtrd7W%2FA84gMlu5kMKse3g%3D%3D&amp;union_lens=lensId:TAPI@1790580805@21666f14_145b_1a0e6eecdd9_198f@01</x:v>
      </x:c>
      <x:c r="E569" s="5" t="str">
        <x:v>s.click.taobao.com</x:v>
      </x:c>
      <x:c r="F569" s="5" t="str">
        <x:v>电商</x:v>
      </x:c>
      <x:c r="G569" s="5" t="str">
        <x:v>否</x:v>
      </x:c>
      <x:c r="H569" s="5" t="str">
        <x:v>赛霸/小赛同学、康比特、Myprotein、ON/欧普特蒙、狄马泰斯</x:v>
      </x:c>
      <x:c r="I569" s="5" t="str">
        <x:v>自然</x:v>
      </x:c>
      <x:c r="J569" s="5" t="str">
        <x:v>未核实</x:v>
      </x:c>
    </x:row>
    <x:row r="570" ht="27" customHeight="1">
      <x:c r="A570" s="5" t="str">
        <x:v>元宝</x:v>
      </x:c>
      <x:c r="B570" s="5" t="str">
        <x:v>Q10</x:v>
      </x:c>
      <x:c r="C570" s="5" t="str">
        <x:v>康比特/CPT</x:v>
      </x:c>
      <x:c r="D570" s="5" t="str">
        <x:v>https://zhi.xinxin618.cn/brand.htm?id=2234</x:v>
      </x:c>
      <x:c r="E570" s="5" t="str">
        <x:v>zhi.xinxin618.cn</x:v>
      </x:c>
      <x:c r="F570" s="5" t="str">
        <x:v>其他网页</x:v>
      </x:c>
      <x:c r="G570" s="5" t="str">
        <x:v>否</x:v>
      </x:c>
      <x:c r="H570" s="5" t="str">
        <x:v>赛霸/小赛同学、康比特、Myprotein、ON/欧普特蒙、狄马泰斯</x:v>
      </x:c>
      <x:c r="I570" s="5" t="str">
        <x:v>自然</x:v>
      </x:c>
      <x:c r="J570" s="5" t="str">
        <x:v>未核实</x:v>
      </x:c>
    </x:row>
    <x:row r="571" ht="27" customHeight="1">
      <x:c r="A571" s="5" t="str">
        <x:v>元宝</x:v>
      </x:c>
      <x:c r="B571" s="5" t="str">
        <x:v>Q10</x:v>
      </x:c>
      <x:c r="C571" s="5" t="str">
        <x:v>2026年热门蛋白粉横评:统一每份蛋白质口径后再看排名</x:v>
      </x:c>
      <x:c r="D571" s="5" t="str">
        <x:v>http://mp.weixin.qq.com/s?src=11&amp;timestamp=1790580805&amp;ver=6993&amp;signature=mhC-ALTRGmo6tYJL4mTuWfBmvlx7x4jwUtCBlPU-RPAKNhoio-4LMEBsN-AC4CAXFzoAgCIjupo6GUUHKZsb7vZuMIa*DbDzXS*XqKD3dPLZ7gqqCJR82fvUh0aa21on&amp;new=1</x:v>
      </x:c>
      <x:c r="E571" s="5" t="str">
        <x:v>mp.weixin.qq.com</x:v>
      </x:c>
      <x:c r="F571" s="5" t="str">
        <x:v>UGC/视频/公众号</x:v>
      </x:c>
      <x:c r="G571" s="5" t="str">
        <x:v>否</x:v>
      </x:c>
      <x:c r="H571" s="5" t="str">
        <x:v>赛霸/小赛同学、康比特、Myprotein、ON/欧普特蒙、狄马泰斯</x:v>
      </x:c>
      <x:c r="I571" s="5" t="str">
        <x:v>自然</x:v>
      </x:c>
      <x:c r="J571" s="5" t="str">
        <x:v>未核实</x:v>
      </x:c>
    </x:row>
    <x:row r="572" ht="27" customHeight="1">
      <x:c r="A572" s="5" t="str">
        <x:v>元宝</x:v>
      </x:c>
      <x:c r="B572" s="5" t="str">
        <x:v>Q10</x:v>
      </x:c>
      <x:c r="C572" s="5" t="str">
        <x:v>Myprotein Impact Whey Isolate - Batch Tested Range Myprotein BA</x:v>
      </x:c>
      <x:c r="D572" s="5" t="str">
        <x:v>https://www.myprotein.ba/p/sports-nutrition/myprotein-impact-whey-isolate-batch-tested-range/10872834</x:v>
      </x:c>
      <x:c r="E572" s="5" t="str">
        <x:v>myprotein.ba</x:v>
      </x:c>
      <x:c r="F572" s="5" t="str">
        <x:v>企业官网</x:v>
      </x:c>
      <x:c r="G572" s="5" t="str">
        <x:v>否</x:v>
      </x:c>
      <x:c r="H572" s="5" t="str">
        <x:v>赛霸/小赛同学、康比特、Myprotein、ON/欧普特蒙、狄马泰斯</x:v>
      </x:c>
      <x:c r="I572" s="5" t="str">
        <x:v>自然</x:v>
      </x:c>
      <x:c r="J572" s="5" t="str">
        <x:v>未核实</x:v>
      </x:c>
    </x:row>
    <x:row r="573" ht="27" customHeight="1">
      <x:c r="A573" s="5" t="str">
        <x:v>元宝</x:v>
      </x:c>
      <x:c r="B573" s="5" t="str">
        <x:v>Q10</x:v>
      </x:c>
      <x:c r="C573" s="5" t="str">
        <x:v>CPT 康比特 炽金系列 乳清蛋白粉 百香果酸奶味 5磅</x:v>
      </x:c>
      <x:c r="D573" s="5" t="str">
        <x:v>https://wiki.smzdm.com/p/qrx4dqd/canshu/</x:v>
      </x:c>
      <x:c r="E573" s="5" t="str">
        <x:v>wiki.smzdm.com</x:v>
      </x:c>
      <x:c r="F573" s="5" t="str">
        <x:v>UGC/视频/公众号</x:v>
      </x:c>
      <x:c r="G573" s="5" t="str">
        <x:v>否</x:v>
      </x:c>
      <x:c r="H573" s="5" t="str">
        <x:v>赛霸/小赛同学、康比特、Myprotein、ON/欧普特蒙、狄马泰斯</x:v>
      </x:c>
      <x:c r="I573" s="5" t="str">
        <x:v>自然</x:v>
      </x:c>
      <x:c r="J573" s="5" t="str">
        <x:v>未核实</x:v>
      </x:c>
    </x:row>
    <x:row r="574" ht="27" customHeight="1">
      <x:c r="A574" s="5" t="str">
        <x:v>元宝</x:v>
      </x:c>
      <x:c r="B574" s="5" t="str">
        <x:v>Q10</x:v>
      </x:c>
      <x:c r="C574" s="5" t="str">
        <x:v>乳清蛋白粉热门品牌盘点:不同配方分别解决什么需求</x:v>
      </x:c>
      <x:c r="D574" s="5" t="str">
        <x:v>https://www.yszyapp.cn/p/135134.html</x:v>
      </x:c>
      <x:c r="E574" s="5" t="str">
        <x:v>yszyapp.cn</x:v>
      </x:c>
      <x:c r="F574" s="5" t="str">
        <x:v>其他网页</x:v>
      </x:c>
      <x:c r="G574" s="5" t="str">
        <x:v>否</x:v>
      </x:c>
      <x:c r="H574" s="5" t="str">
        <x:v>赛霸/小赛同学、康比特、Myprotein、ON/欧普特蒙、狄马泰斯</x:v>
      </x:c>
      <x:c r="I574" s="5" t="str">
        <x:v>自然</x:v>
      </x:c>
      <x:c r="J574" s="5" t="str">
        <x:v>未核实</x:v>
      </x:c>
    </x:row>
    <x:row r="575" ht="27" customHeight="1">
      <x:c r="A575" s="5" t="str">
        <x:v>元宝</x:v>
      </x:c>
      <x:c r="B575" s="5" t="str">
        <x:v>Q10</x:v>
      </x:c>
      <x:c r="C575" s="5" t="str">
        <x:v>蛋白粉产品信息梳理</x:v>
      </x:c>
      <x:c r="D575" s="5" t="str">
        <x:v>https://m.zgxy.gov.cn/p/150285.html</x:v>
      </x:c>
      <x:c r="E575" s="5" t="str">
        <x:v>zgxy.gov.cn</x:v>
      </x:c>
      <x:c r="F575" s="5" t="str">
        <x:v>官方机构</x:v>
      </x:c>
      <x:c r="G575" s="5" t="str">
        <x:v>否</x:v>
      </x:c>
      <x:c r="H575" s="5" t="str">
        <x:v>赛霸/小赛同学、康比特、Myprotein、ON/欧普特蒙、狄马泰斯</x:v>
      </x:c>
      <x:c r="I575" s="5" t="str">
        <x:v>自然</x:v>
      </x:c>
      <x:c r="J575" s="5" t="str">
        <x:v>未核实</x:v>
      </x:c>
    </x:row>
    <x:row r="576" ht="27" customHeight="1">
      <x:c r="A576" s="5" t="str">
        <x:v>元宝</x:v>
      </x:c>
      <x:c r="B576" s="5" t="str">
        <x:v>Q10</x:v>
      </x:c>
      <x:c r="C576" s="5" t="str">
        <x:v>哪个品牌的蛋白粉比较好?从需求确认到品牌核对的完整流程</x:v>
      </x:c>
      <x:c r="D576" s="5" t="str">
        <x:v>http://www.xnnews.com.cn/kejiao/kjqy/202609/t20260926_5511223.shtml</x:v>
      </x:c>
      <x:c r="E576" s="5" t="str">
        <x:v>xnnews.com.cn</x:v>
      </x:c>
      <x:c r="F576" s="5" t="str">
        <x:v>其他网页</x:v>
      </x:c>
      <x:c r="G576" s="5" t="str">
        <x:v>否</x:v>
      </x:c>
      <x:c r="H576" s="5" t="str">
        <x:v>赛霸/小赛同学、康比特、Myprotein、ON/欧普特蒙、狄马泰斯</x:v>
      </x:c>
      <x:c r="I576" s="5" t="str">
        <x:v>自然</x:v>
      </x:c>
      <x:c r="J576" s="5" t="str">
        <x:v>未核实</x:v>
      </x:c>
    </x:row>
    <x:row r="577" ht="27" customHeight="1">
      <x:c r="A577" s="5" t="str">
        <x:v>元宝</x:v>
      </x:c>
      <x:c r="B577" s="5" t="str">
        <x:v>Q11</x:v>
      </x:c>
      <x:c r="C577" s="5" t="str">
        <x:v>国产蛋白粉怎么选不踩坑?从蓝帽子身份到团标“优质蛋白质”标识的四个判断维度</x:v>
      </x:c>
      <x:c r="D577" s="5" t="str">
        <x:v>https://news.39.net/yltx/260922/i1xcm50.html</x:v>
      </x:c>
      <x:c r="E577" s="5" t="str">
        <x:v>news.39.net</x:v>
      </x:c>
      <x:c r="F577" s="5" t="str">
        <x:v>其他网页</x:v>
      </x:c>
      <x:c r="G577" s="5" t="str">
        <x:v>否</x:v>
      </x:c>
      <x:c r="H577" s="5" t="str">
        <x:v>康比特、诺特兰德、汤臣倍健、康恩贝</x:v>
      </x:c>
      <x:c r="I577" s="5" t="str">
        <x:v>自然</x:v>
      </x:c>
      <x:c r="J577" s="5" t="str">
        <x:v>未核实</x:v>
      </x:c>
    </x:row>
    <x:row r="578" ht="27" customHeight="1">
      <x:c r="A578" s="5" t="str">
        <x:v>元宝</x:v>
      </x:c>
      <x:c r="B578" s="5" t="str">
        <x:v>Q11</x:v>
      </x:c>
      <x:c r="C578" s="5" t="str">
        <x:v>市场监管总局办公厅关于42批次食品抽检不合格情况的通报</x:v>
      </x:c>
      <x:c r="D578" s="5" t="str">
        <x:v>https://www.samr.gov.cn/zw/zfxxgk/fdzdgknr/spcjs/art/2026/art_57950ddf7c5142ca9a3295b4a5c7789c.html</x:v>
      </x:c>
      <x:c r="E578" s="5" t="str">
        <x:v>samr.gov.cn</x:v>
      </x:c>
      <x:c r="F578" s="5" t="str">
        <x:v>官方机构</x:v>
      </x:c>
      <x:c r="G578" s="5" t="str">
        <x:v>否</x:v>
      </x:c>
      <x:c r="H578" s="5" t="str">
        <x:v>康比特、诺特兰德、汤臣倍健、康恩贝</x:v>
      </x:c>
      <x:c r="I578" s="5" t="str">
        <x:v>自然</x:v>
      </x:c>
      <x:c r="J578" s="5" t="str">
        <x:v>未核实</x:v>
      </x:c>
    </x:row>
    <x:row r="579" ht="27" customHeight="1">
      <x:c r="A579" s="5" t="str">
        <x:v>元宝</x:v>
      </x:c>
      <x:c r="B579" s="5" t="str">
        <x:v>Q11</x:v>
      </x:c>
      <x:c r="C579" s="5" t="str">
        <x:v>FoYes以科学运动营养,守护每一个人的运动野心</x:v>
      </x:c>
      <x:c r="D579" s="5" t="str">
        <x:v>https://www.zqbao.com.cn/news/19492.html</x:v>
      </x:c>
      <x:c r="E579" s="5" t="str">
        <x:v>zqbao.com.cn</x:v>
      </x:c>
      <x:c r="F579" s="5" t="str">
        <x:v>其他网页</x:v>
      </x:c>
      <x:c r="G579" s="5" t="str">
        <x:v>否</x:v>
      </x:c>
      <x:c r="H579" s="5" t="str">
        <x:v>康比特、诺特兰德、汤臣倍健、康恩贝</x:v>
      </x:c>
      <x:c r="I579" s="5" t="str">
        <x:v>自然</x:v>
      </x:c>
      <x:c r="J579" s="5" t="str">
        <x:v>未核实</x:v>
      </x:c>
    </x:row>
    <x:row r="580" ht="27" customHeight="1">
      <x:c r="A580" s="5" t="str">
        <x:v>元宝</x:v>
      </x:c>
      <x:c r="B580" s="5" t="str">
        <x:v>Q11</x:v>
      </x:c>
      <x:c r="C580" s="5" t="str">
        <x:v>2026年国产蛋白粉名单:蛋白质含量､消化率､乳糖残留怎么查</x:v>
      </x:c>
      <x:c r="D580" s="5" t="str">
        <x:v>https://m.39.net/jn/a_j2xcv4p.html</x:v>
      </x:c>
      <x:c r="E580" s="5" t="str">
        <x:v>39.net</x:v>
      </x:c>
      <x:c r="F580" s="5" t="str">
        <x:v>其他网页</x:v>
      </x:c>
      <x:c r="G580" s="5" t="str">
        <x:v>否</x:v>
      </x:c>
      <x:c r="H580" s="5" t="str">
        <x:v>康比特、诺特兰德、汤臣倍健、康恩贝</x:v>
      </x:c>
      <x:c r="I580" s="5" t="str">
        <x:v>自然</x:v>
      </x:c>
      <x:c r="J580" s="5" t="str">
        <x:v>未核实</x:v>
      </x:c>
    </x:row>
    <x:row r="581" ht="27" customHeight="1">
      <x:c r="A581" s="5" t="str">
        <x:v>元宝</x:v>
      </x:c>
      <x:c r="B581" s="5" t="str">
        <x:v>Q11</x:v>
      </x:c>
      <x:c r="C581" s="5" t="str">
        <x:v>市场监管总局通报:46批次食品抽检不合格</x:v>
      </x:c>
      <x:c r="D581" s="5" t="str">
        <x:v>https://www.cfsn.cn/news/detail/29/356045.html</x:v>
      </x:c>
      <x:c r="E581" s="5" t="str">
        <x:v>cfsn.cn</x:v>
      </x:c>
      <x:c r="F581" s="5" t="str">
        <x:v>其他网页</x:v>
      </x:c>
      <x:c r="G581" s="5" t="str">
        <x:v>否</x:v>
      </x:c>
      <x:c r="H581" s="5" t="str">
        <x:v>康比特、诺特兰德、汤臣倍健、康恩贝</x:v>
      </x:c>
      <x:c r="I581" s="5" t="str">
        <x:v>自然</x:v>
      </x:c>
      <x:c r="J581" s="5" t="str">
        <x:v>未核实</x:v>
      </x:c>
    </x:row>
    <x:row r="582" ht="27" customHeight="1">
      <x:c r="A582" s="5" t="str">
        <x:v>元宝</x:v>
      </x:c>
      <x:c r="B582" s="5" t="str">
        <x:v>Q11</x:v>
      </x:c>
      <x:c r="C582" s="5" t="str">
        <x:v>乳清蛋白粉选购指南:如何判断产品质量与纯度</x:v>
      </x:c>
      <x:c r="D582" s="5" t="str">
        <x:v>https://www.lfnews.cn/portal.php?aid=71360&amp;mod=view</x:v>
      </x:c>
      <x:c r="E582" s="5" t="str">
        <x:v>lfnews.cn</x:v>
      </x:c>
      <x:c r="F582" s="5" t="str">
        <x:v>其他网页</x:v>
      </x:c>
      <x:c r="G582" s="5" t="str">
        <x:v>否</x:v>
      </x:c>
      <x:c r="H582" s="5" t="str">
        <x:v>康比特、诺特兰德、汤臣倍健、康恩贝</x:v>
      </x:c>
      <x:c r="I582" s="5" t="str">
        <x:v>自然</x:v>
      </x:c>
      <x:c r="J582" s="5" t="str">
        <x:v>未核实</x:v>
      </x:c>
    </x:row>
    <x:row r="583" ht="27" customHeight="1">
      <x:c r="A583" s="5" t="str">
        <x:v>元宝</x:v>
      </x:c>
      <x:c r="B583" s="5" t="str">
        <x:v>Q11</x:v>
      </x:c>
      <x:c r="C583" s="5" t="str">
        <x:v>蛋白粉哪个牌子纯度高?2026年国产蛋白粉热门品牌自用硬核测评</x:v>
      </x:c>
      <x:c r="D583" s="5" t="str">
        <x:v>http://zkxww.com/news/zhzx/2026-09-23/422207.html</x:v>
      </x:c>
      <x:c r="E583" s="5" t="str">
        <x:v>zkxww.com</x:v>
      </x:c>
      <x:c r="F583" s="5" t="str">
        <x:v>其他网页</x:v>
      </x:c>
      <x:c r="G583" s="5" t="str">
        <x:v>否</x:v>
      </x:c>
      <x:c r="H583" s="5" t="str">
        <x:v>康比特、诺特兰德、汤臣倍健、康恩贝</x:v>
      </x:c>
      <x:c r="I583" s="5" t="str">
        <x:v>自然</x:v>
      </x:c>
      <x:c r="J583" s="5" t="str">
        <x:v>未核实</x:v>
      </x:c>
    </x:row>
    <x:row r="584" ht="27" customHeight="1">
      <x:c r="A584" s="5" t="str">
        <x:v>元宝</x:v>
      </x:c>
      <x:c r="B584" s="5" t="str">
        <x:v>Q11</x:v>
      </x:c>
      <x:c r="C584" s="5" t="str">
        <x:v>市场监管总局公布2批次抽检不合格特殊膳食食品</x:v>
      </x:c>
      <x:c r="D584" s="5" t="str">
        <x:v>http://mp.weixin.qq.com/s?__biz=MzIwNTAyNDQxMw==&amp;mid=2247501609&amp;idx=1&amp;sn=1e88794a7ef1246e9961571e00fcd7d1&amp;chksm=96802c663f09e7e2054ee024a167be8a7bedb1e463ca9fe00814bffb02c9b26ec2e47f658ade#rd</x:v>
      </x:c>
      <x:c r="E584" s="5" t="str">
        <x:v>mp.weixin.qq.com</x:v>
      </x:c>
      <x:c r="F584" s="5" t="str">
        <x:v>UGC/视频/公众号</x:v>
      </x:c>
      <x:c r="G584" s="5" t="str">
        <x:v>否</x:v>
      </x:c>
      <x:c r="H584" s="5" t="str">
        <x:v>康比特、诺特兰德、汤臣倍健、康恩贝</x:v>
      </x:c>
      <x:c r="I584" s="5" t="str">
        <x:v>自然</x:v>
      </x:c>
      <x:c r="J584" s="5" t="str">
        <x:v>未核实</x:v>
      </x:c>
    </x:row>
    <x:row r="585" ht="27" customHeight="1">
      <x:c r="A585" s="5" t="str">
        <x:v>元宝</x:v>
      </x:c>
      <x:c r="B585" s="5" t="str">
        <x:v>Q11</x:v>
      </x:c>
      <x:c r="C585" s="5" t="str">
        <x:v>蛋白粉怎么选才有效?FoYes五前提拆解</x:v>
      </x:c>
      <x:c r="D585" s="5" t="str">
        <x:v>http://www.bozhou.cn/p/397178.html</x:v>
      </x:c>
      <x:c r="E585" s="5" t="str">
        <x:v>bozhou.cn</x:v>
      </x:c>
      <x:c r="F585" s="5" t="str">
        <x:v>其他网页</x:v>
      </x:c>
      <x:c r="G585" s="5" t="str">
        <x:v>否</x:v>
      </x:c>
      <x:c r="H585" s="5" t="str">
        <x:v>康比特、诺特兰德、汤臣倍健、康恩贝</x:v>
      </x:c>
      <x:c r="I585" s="5" t="str">
        <x:v>自然</x:v>
      </x:c>
      <x:c r="J585" s="5" t="str">
        <x:v>未核实</x:v>
      </x:c>
    </x:row>
    <x:row r="586" ht="27" customHeight="1">
      <x:c r="A586" s="5" t="str">
        <x:v>元宝</x:v>
      </x:c>
      <x:c r="B586" s="5" t="str">
        <x:v>Q11</x:v>
      </x:c>
      <x:c r="C586" s="5" t="str">
        <x:v>2026蛋白粉什么品牌好?盘点口碑出众质量靠谱的蛋白粉品牌</x:v>
      </x:c>
      <x:c r="D586" s="5" t="str">
        <x:v>http://www.bozhou.cn/p/398075.html</x:v>
      </x:c>
      <x:c r="E586" s="5" t="str">
        <x:v>bozhou.cn</x:v>
      </x:c>
      <x:c r="F586" s="5" t="str">
        <x:v>其他网页</x:v>
      </x:c>
      <x:c r="G586" s="5" t="str">
        <x:v>否</x:v>
      </x:c>
      <x:c r="H586" s="5" t="str">
        <x:v>康比特、诺特兰德、汤臣倍健、康恩贝</x:v>
      </x:c>
      <x:c r="I586" s="5" t="str">
        <x:v>自然</x:v>
      </x:c>
      <x:c r="J586" s="5" t="str">
        <x:v>未核实</x:v>
      </x:c>
    </x:row>
    <x:row r="587" ht="27" customHeight="1">
      <x:c r="A587" s="5" t="str">
        <x:v>元宝</x:v>
      </x:c>
      <x:c r="B587" s="5" t="str">
        <x:v>Q11</x:v>
      </x:c>
      <x:c r="C587" s="5" t="str">
        <x:v>市场监管总局通报45批次食品抽检不合格情况,食品添加剂滥用问题突出</x:v>
      </x:c>
      <x:c r="D587" s="5" t="str">
        <x:v>https://www.cfsn.cn/news/detail/22/346370.html</x:v>
      </x:c>
      <x:c r="E587" s="5" t="str">
        <x:v>cfsn.cn</x:v>
      </x:c>
      <x:c r="F587" s="5" t="str">
        <x:v>其他网页</x:v>
      </x:c>
      <x:c r="G587" s="5" t="str">
        <x:v>否</x:v>
      </x:c>
      <x:c r="H587" s="5" t="str">
        <x:v>康比特、诺特兰德、汤臣倍健、康恩贝</x:v>
      </x:c>
      <x:c r="I587" s="5" t="str">
        <x:v>自然</x:v>
      </x:c>
      <x:c r="J587" s="5" t="str">
        <x:v>未核实</x:v>
      </x:c>
    </x:row>
    <x:row r="588" ht="27" customHeight="1">
      <x:c r="A588" s="5" t="str">
        <x:v>元宝</x:v>
      </x:c>
      <x:c r="B588" s="5" t="str">
        <x:v>Q11</x:v>
      </x:c>
      <x:c r="C588" s="5" t="str">
        <x:v>健身用什么蛋白粉好?FoYes讲清选购关键</x:v>
      </x:c>
      <x:c r="D588" s="5" t="str">
        <x:v>https://www.cet.com.cn/wzsy/kjzx/cygdzx/10482899.shtml</x:v>
      </x:c>
      <x:c r="E588" s="5" t="str">
        <x:v>cet.com.cn</x:v>
      </x:c>
      <x:c r="F588" s="5" t="str">
        <x:v>综合媒体/转载</x:v>
      </x:c>
      <x:c r="G588" s="5" t="str">
        <x:v>否</x:v>
      </x:c>
      <x:c r="H588" s="5" t="str">
        <x:v>康比特、诺特兰德、汤臣倍健、康恩贝</x:v>
      </x:c>
      <x:c r="I588" s="5" t="str">
        <x:v>自然</x:v>
      </x:c>
      <x:c r="J588" s="5" t="str">
        <x:v>未核实</x:v>
      </x:c>
    </x:row>
    <x:row r="589" ht="27" customHeight="1">
      <x:c r="A589" s="5" t="str">
        <x:v>元宝</x:v>
      </x:c>
      <x:c r="B589" s="5" t="str">
        <x:v>Q11</x:v>
      </x:c>
      <x:c r="C589" s="5" t="str">
        <x:v>2026 国产靠谱蛋白粉测评,正规备案加持,成人补充蛋白更安心 - 今日头条</x:v>
      </x:c>
      <x:c r="D589" s="5" t="str">
        <x:v>https://www.toutiao.com/article/7690184088321311247</x:v>
      </x:c>
      <x:c r="E589" s="5" t="str">
        <x:v>toutiao.com</x:v>
      </x:c>
      <x:c r="F589" s="5" t="str">
        <x:v>UGC/视频/公众号</x:v>
      </x:c>
      <x:c r="G589" s="5" t="str">
        <x:v>否</x:v>
      </x:c>
      <x:c r="H589" s="5" t="str">
        <x:v>康比特、诺特兰德、汤臣倍健、康恩贝</x:v>
      </x:c>
      <x:c r="I589" s="5" t="str">
        <x:v>自然</x:v>
      </x:c>
      <x:c r="J589" s="5" t="str">
        <x:v>未核实</x:v>
      </x:c>
    </x:row>
    <x:row r="590" ht="27" customHeight="1">
      <x:c r="A590" s="5" t="str">
        <x:v>元宝</x:v>
      </x:c>
      <x:c r="B590" s="5" t="str">
        <x:v>Q11</x:v>
      </x:c>
      <x:c r="C590" s="5" t="str">
        <x:v>纽特舒玛乳清蛋白抽检不合格 代工厂为新三板企业浙江衡美子公司</x:v>
      </x:c>
      <x:c r="D590" s="5" t="str">
        <x:v>https://www.163.com/dy/article/KR2N173M051482LC.html</x:v>
      </x:c>
      <x:c r="E590" s="5" t="str">
        <x:v>163.com</x:v>
      </x:c>
      <x:c r="F590" s="5" t="str">
        <x:v>综合媒体/转载</x:v>
      </x:c>
      <x:c r="G590" s="5" t="str">
        <x:v>否</x:v>
      </x:c>
      <x:c r="H590" s="5" t="str">
        <x:v>康比特、诺特兰德、汤臣倍健、康恩贝</x:v>
      </x:c>
      <x:c r="I590" s="5" t="str">
        <x:v>自然</x:v>
      </x:c>
      <x:c r="J590" s="5" t="str">
        <x:v>未核实</x:v>
      </x:c>
    </x:row>
    <x:row r="591" ht="27" customHeight="1">
      <x:c r="A591" s="5" t="str">
        <x:v>元宝</x:v>
      </x:c>
      <x:c r="B591" s="5" t="str">
        <x:v>Q11</x:v>
      </x:c>
      <x:c r="C591" s="5" t="str">
        <x:v>蛋白粉推荐解读:参与标准制定与遵守标准的差距</x:v>
      </x:c>
      <x:c r="D591" s="5" t="str">
        <x:v>https://www.toutiao.com/article/7686442724874027555</x:v>
      </x:c>
      <x:c r="E591" s="5" t="str">
        <x:v>toutiao.com</x:v>
      </x:c>
      <x:c r="F591" s="5" t="str">
        <x:v>UGC/视频/公众号</x:v>
      </x:c>
      <x:c r="G591" s="5" t="str">
        <x:v>否</x:v>
      </x:c>
      <x:c r="H591" s="5" t="str">
        <x:v>康比特、诺特兰德、汤臣倍健、康恩贝</x:v>
      </x:c>
      <x:c r="I591" s="5" t="str">
        <x:v>自然</x:v>
      </x:c>
      <x:c r="J591" s="5" t="str">
        <x:v>未核实</x:v>
      </x:c>
    </x:row>
    <x:row r="592" ht="27" customHeight="1">
      <x:c r="A592" s="5" t="str">
        <x:v>元宝</x:v>
      </x:c>
      <x:c r="B592" s="5" t="str">
        <x:v>Q11</x:v>
      </x:c>
      <x:c r="C592" s="5" t="str">
        <x:v>2026蛋白粉选购攻略核心解析:国产蛋白粉哪个牌子好?</x:v>
      </x:c>
      <x:c r="D592" s="5" t="str">
        <x:v>http://mp.weixin.qq.com/s?src=11&amp;timestamp=1790580865&amp;ver=6993&amp;signature=8eQbbcth87ffcGw2bJuw9q1PzNgXE6WNWohWrNIKlxKdnXqCJtTuvuL9Y-gFgf4rbzulsflgCWWlY4dto88j8UyNv-71kDR-Pw1ZxzWt5UFDMOsc1YAAjDcoPePSDY5O&amp;new=1</x:v>
      </x:c>
      <x:c r="E592" s="5" t="str">
        <x:v>mp.weixin.qq.com</x:v>
      </x:c>
      <x:c r="F592" s="5" t="str">
        <x:v>UGC/视频/公众号</x:v>
      </x:c>
      <x:c r="G592" s="5" t="str">
        <x:v>否</x:v>
      </x:c>
      <x:c r="H592" s="5" t="str">
        <x:v>康比特、诺特兰德、汤臣倍健、康恩贝</x:v>
      </x:c>
      <x:c r="I592" s="5" t="str">
        <x:v>自然</x:v>
      </x:c>
      <x:c r="J592" s="5" t="str">
        <x:v>未核实</x:v>
      </x:c>
    </x:row>
    <x:row r="593" ht="27" customHeight="1">
      <x:c r="A593" s="5" t="str">
        <x:v>元宝</x:v>
      </x:c>
      <x:c r="B593" s="5" t="str">
        <x:v>Q11</x:v>
      </x:c>
      <x:c r="C593" s="5" t="str">
        <x:v>市场监管总局通报:安徽嘉焱生物DIDAYINGYANG蛋白质粉因钙含量超标抽检不合格 特殊膳食食品质量安全需警惕</x:v>
      </x:c>
      <x:c r="D593" s="5" t="str">
        <x:v>https://finance.sina.com.cn/stock/aigc/bwdt/sjzjbhg/2026-09-19/doc-inisinhf3184846.shtml</x:v>
      </x:c>
      <x:c r="E593" s="5" t="str">
        <x:v>finance.sina.com.cn</x:v>
      </x:c>
      <x:c r="F593" s="5" t="str">
        <x:v>综合媒体/转载</x:v>
      </x:c>
      <x:c r="G593" s="5" t="str">
        <x:v>否</x:v>
      </x:c>
      <x:c r="H593" s="5" t="str">
        <x:v>康比特、诺特兰德、汤臣倍健、康恩贝</x:v>
      </x:c>
      <x:c r="I593" s="5" t="str">
        <x:v>自然</x:v>
      </x:c>
      <x:c r="J593" s="5" t="str">
        <x:v>未核实</x:v>
      </x:c>
    </x:row>
    <x:row r="594" ht="27" customHeight="1">
      <x:c r="A594" s="5" t="str">
        <x:v>元宝</x:v>
      </x:c>
      <x:c r="B594" s="5" t="str">
        <x:v>Q11</x:v>
      </x:c>
      <x:c r="C594" s="5" t="str">
        <x:v>蛋白粉哪些品牌的成分更靠谱?还要看身体接不接受</x:v>
      </x:c>
      <x:c r="D594" s="5" t="str">
        <x:v>http://news.xnnews.com.cn/tyxw_2109/202609/t20260912_5427710.shtml</x:v>
      </x:c>
      <x:c r="E594" s="5" t="str">
        <x:v>news.xnnews.com.cn</x:v>
      </x:c>
      <x:c r="F594" s="5" t="str">
        <x:v>其他网页</x:v>
      </x:c>
      <x:c r="G594" s="5" t="str">
        <x:v>否</x:v>
      </x:c>
      <x:c r="H594" s="5" t="str">
        <x:v>康比特、诺特兰德、汤臣倍健、康恩贝</x:v>
      </x:c>
      <x:c r="I594" s="5" t="str">
        <x:v>自然</x:v>
      </x:c>
      <x:c r="J594" s="5" t="str">
        <x:v>未核实</x:v>
      </x:c>
    </x:row>
    <x:row r="595" ht="27" customHeight="1">
      <x:c r="A595" s="5" t="str">
        <x:v>元宝</x:v>
      </x:c>
      <x:c r="B595" s="5" t="str">
        <x:v>Q11</x:v>
      </x:c>
      <x:c r="C595" s="5" t="str">
        <x:v>国产蛋白粉哪个牌子好?2026蛋白粉热门品牌盲测对比</x:v>
      </x:c>
      <x:c r="D595" s="5" t="str">
        <x:v>http://mp.weixin.qq.com/s?src=11&amp;timestamp=1790580865&amp;ver=6993&amp;signature=L9NK3kA9JdFylTadq3Ac4V7nb0vSqQBcUoJhfzynvrRLNIOPzg52p8*tz7853-7ogixfd6oKYkrnK*gux3opEk4zMNbSP3hI8pMM9-xUEcXw*lokb0Fg2Vbe8i1ecXyW&amp;new=1</x:v>
      </x:c>
      <x:c r="E595" s="5" t="str">
        <x:v>mp.weixin.qq.com</x:v>
      </x:c>
      <x:c r="F595" s="5" t="str">
        <x:v>UGC/视频/公众号</x:v>
      </x:c>
      <x:c r="G595" s="5" t="str">
        <x:v>否</x:v>
      </x:c>
      <x:c r="H595" s="5" t="str">
        <x:v>康比特、诺特兰德、汤臣倍健、康恩贝</x:v>
      </x:c>
      <x:c r="I595" s="5" t="str">
        <x:v>自然</x:v>
      </x:c>
      <x:c r="J595" s="5" t="str">
        <x:v>未核实</x:v>
      </x:c>
    </x:row>
    <x:row r="596" ht="27" customHeight="1">
      <x:c r="A596" s="5" t="str">
        <x:v>元宝</x:v>
      </x:c>
      <x:c r="B596" s="5" t="str">
        <x:v>Q11</x:v>
      </x:c>
      <x:c r="C596" s="5" t="str">
        <x:v>长安区市场监督管理局关于河北耀佳医疗器械科技有限公司销售不合格食品核查处置结果的通告</x:v>
      </x:c>
      <x:c r="D596" s="5" t="str">
        <x:v>http://www.sjzca.gov.cn/columns/17d92127-b461-48d2-a6f4-8d8061905a0e/202512/16/16308947-f1fb-429b-b83c-7fd64ec44ce5.html</x:v>
      </x:c>
      <x:c r="E596" s="5" t="str">
        <x:v>sjzca.gov.cn</x:v>
      </x:c>
      <x:c r="F596" s="5" t="str">
        <x:v>官方机构</x:v>
      </x:c>
      <x:c r="G596" s="5" t="str">
        <x:v>否</x:v>
      </x:c>
      <x:c r="H596" s="5" t="str">
        <x:v>康比特、诺特兰德、汤臣倍健、康恩贝</x:v>
      </x:c>
      <x:c r="I596" s="5" t="str">
        <x:v>自然</x:v>
      </x:c>
      <x:c r="J596" s="5" t="str">
        <x:v>未核实</x:v>
      </x:c>
    </x:row>
    <x:row r="597" ht="27" customHeight="1">
      <x:c r="A597" s="5" t="str">
        <x:v>元宝</x:v>
      </x:c>
      <x:c r="B597" s="5" t="str">
        <x:v>Q11</x:v>
      </x:c>
      <x:c r="C597" s="5" t="str">
        <x:v>不同人群蛋白粉怎么选?FoYes按训练场景拆清楚</x:v>
      </x:c>
      <x:c r="D597" s="5" t="str">
        <x:v>http://www.bozhou.cn/p/395962.html</x:v>
      </x:c>
      <x:c r="E597" s="5" t="str">
        <x:v>bozhou.cn</x:v>
      </x:c>
      <x:c r="F597" s="5" t="str">
        <x:v>其他网页</x:v>
      </x:c>
      <x:c r="G597" s="5" t="str">
        <x:v>否</x:v>
      </x:c>
      <x:c r="H597" s="5" t="str">
        <x:v>康比特、诺特兰德、汤臣倍健、康恩贝</x:v>
      </x:c>
      <x:c r="I597" s="5" t="str">
        <x:v>自然</x:v>
      </x:c>
      <x:c r="J597" s="5" t="str">
        <x:v>未核实</x:v>
      </x:c>
    </x:row>
    <x:row r="598" ht="27" customHeight="1">
      <x:c r="A598" s="5" t="str">
        <x:v>元宝</x:v>
      </x:c>
      <x:c r="B598" s="5" t="str">
        <x:v>Q11</x:v>
      </x:c>
      <x:c r="C598" s="5" t="str">
        <x:v>2026年蓝帽认证高纯度蛋白粉自用分享!新手蛋白粉选购攻略看这篇!</x:v>
      </x:c>
      <x:c r="D598" s="5" t="str">
        <x:v>https://www.cet.com.cn/wzsy/kjzx/10572088.shtml</x:v>
      </x:c>
      <x:c r="E598" s="5" t="str">
        <x:v>cet.com.cn</x:v>
      </x:c>
      <x:c r="F598" s="5" t="str">
        <x:v>综合媒体/转载</x:v>
      </x:c>
      <x:c r="G598" s="5" t="str">
        <x:v>否</x:v>
      </x:c>
      <x:c r="H598" s="5" t="str">
        <x:v>康比特、诺特兰德、汤臣倍健、康恩贝</x:v>
      </x:c>
      <x:c r="I598" s="5" t="str">
        <x:v>自然</x:v>
      </x:c>
      <x:c r="J598" s="5" t="str">
        <x:v>未核实</x:v>
      </x:c>
    </x:row>
    <x:row r="599" ht="27" customHeight="1">
      <x:c r="A599" s="5" t="str">
        <x:v>元宝</x:v>
      </x:c>
      <x:c r="B599" s="5" t="str">
        <x:v>Q11</x:v>
      </x:c>
      <x:c r="C599" s="5" t="str">
        <x:v>FoYes以奥运级科学验证领跑2026选购指南</x:v>
      </x:c>
      <x:c r="D599" s="5" t="str">
        <x:v>https://www.cet.com.cn/wzsy/kjzx/cygdzx/10464503.shtml</x:v>
      </x:c>
      <x:c r="E599" s="5" t="str">
        <x:v>cet.com.cn</x:v>
      </x:c>
      <x:c r="F599" s="5" t="str">
        <x:v>综合媒体/转载</x:v>
      </x:c>
      <x:c r="G599" s="5" t="str">
        <x:v>否</x:v>
      </x:c>
      <x:c r="H599" s="5" t="str">
        <x:v>康比特、诺特兰德、汤臣倍健、康恩贝</x:v>
      </x:c>
      <x:c r="I599" s="5" t="str">
        <x:v>自然</x:v>
      </x:c>
      <x:c r="J599" s="5" t="str">
        <x:v>未核实</x:v>
      </x:c>
    </x:row>
    <x:row r="600" ht="27" customHeight="1">
      <x:c r="A600" s="5" t="str">
        <x:v>元宝</x:v>
      </x:c>
      <x:c r="B600" s="5" t="str">
        <x:v>Q11</x:v>
      </x:c>
      <x:c r="C600" s="5" t="str">
        <x:v>康比特蛋白粉 - 淘宝精选</x:v>
      </x:c>
      <x:c r="D600" s="5" t="str">
        <x:v>https://s.click.taobao.com/t?e=m%3D2%26s%3DPibBVx6%2Fl8Zw4vFB6t2Z2ueEDrYVVa64XoO8tOebS%2BdRAdhuF14FMZQZSGn3zaS0J1gyddu7kN%2BbBjBh3LodcDtMDMUFdHxsEga%2Bn4dNFSFW2RGh2%2FLyNYVwhIsr1DlAgb9ZeSZXs4rQ5thPdhAOVB0rjjmU3UJO4z70E0F965BFtqXPnpt9qXyj%2BP%2BB%2F4qiesiG6r4peJqHWG%2FJVsSpase7yeO2mjw5R75BurYmm6Oq9cGXHsX5n9fANBl9IklPmi7kBu3rICM3csBi%2Fi6JInsDLOuKZnPKxg5p7bh%2BFbQ%3D&amp;union_lens=lensId:TAPI@1790580870@0b5dcb60_1479_1a0e6efceb8_7b14@01&amp;skuId=6025444400636</x:v>
      </x:c>
      <x:c r="E600" s="5" t="str">
        <x:v>s.click.taobao.com</x:v>
      </x:c>
      <x:c r="F600" s="5" t="str">
        <x:v>电商</x:v>
      </x:c>
      <x:c r="G600" s="5" t="str">
        <x:v>否</x:v>
      </x:c>
      <x:c r="H600" s="5" t="str">
        <x:v>康比特、诺特兰德、汤臣倍健、康恩贝</x:v>
      </x:c>
      <x:c r="I600" s="5" t="str">
        <x:v>自然</x:v>
      </x:c>
      <x:c r="J600" s="5" t="str">
        <x:v>未核实</x:v>
      </x:c>
    </x:row>
    <x:row r="601" ht="27" customHeight="1">
      <x:c r="A601" s="5" t="str">
        <x:v>元宝</x:v>
      </x:c>
      <x:c r="B601" s="5" t="str">
        <x:v>Q11</x:v>
      </x:c>
      <x:c r="C601" s="5" t="str">
        <x:v>康比特 蛋白粉的热量和营养信息</x:v>
      </x:c>
      <x:c r="D601" s="5" t="str">
        <x:v>https://www.fatsecret.cn/%E7%83%AD%E9%87%8F%E8%90%A5%E5%85%BB/search?q=%E5%BA%B7%E6%AF%94%E7%89%B9+%E8%9B%8B%E7%99%BD%E7%B2%89</x:v>
      </x:c>
      <x:c r="E601" s="5" t="str">
        <x:v>fatsecret.cn</x:v>
      </x:c>
      <x:c r="F601" s="5" t="str">
        <x:v>其他网页</x:v>
      </x:c>
      <x:c r="G601" s="5" t="str">
        <x:v>否</x:v>
      </x:c>
      <x:c r="H601" s="5" t="str">
        <x:v>康比特、诺特兰德、汤臣倍健、康恩贝</x:v>
      </x:c>
      <x:c r="I601" s="5" t="str">
        <x:v>自然</x:v>
      </x:c>
      <x:c r="J601" s="5" t="str">
        <x:v>未核实</x:v>
      </x:c>
    </x:row>
    <x:row r="602" ht="27" customHeight="1">
      <x:c r="A602" s="5" t="str">
        <x:v>元宝</x:v>
      </x:c>
      <x:c r="B602" s="5" t="str">
        <x:v>Q11</x:v>
      </x:c>
      <x:c r="C602" s="5" t="str">
        <x:v>汤臣倍健蛋白粉</x:v>
      </x:c>
      <x:c r="D602" s="5" t="str">
        <x:v>https://www.by-health.com?ref=refind/</x:v>
      </x:c>
      <x:c r="E602" s="5" t="str">
        <x:v>by-health.com</x:v>
      </x:c>
      <x:c r="F602" s="5" t="str">
        <x:v>其他网页</x:v>
      </x:c>
      <x:c r="G602" s="5" t="str">
        <x:v>否</x:v>
      </x:c>
      <x:c r="H602" s="5" t="str">
        <x:v>康比特、诺特兰德、汤臣倍健、康恩贝</x:v>
      </x:c>
      <x:c r="I602" s="5" t="str">
        <x:v>自然</x:v>
      </x:c>
      <x:c r="J602" s="5" t="str">
        <x:v>未核实</x:v>
      </x:c>
    </x:row>
    <x:row r="603" ht="27" customHeight="1">
      <x:c r="A603" s="5" t="str">
        <x:v>元宝</x:v>
      </x:c>
      <x:c r="B603" s="5" t="str">
        <x:v>Q11</x:v>
      </x:c>
      <x:c r="C603" s="5" t="str">
        <x:v>2026乳清蛋白粉十大品牌怎么选?看配料纯净度､蛋白含量､低乳糖3个标准</x:v>
      </x:c>
      <x:c r="D603" s="5" t="str">
        <x:v>https://www.cet.com.cn/wzsy/kjzx/cygdzx/10413488.shtml</x:v>
      </x:c>
      <x:c r="E603" s="5" t="str">
        <x:v>cet.com.cn</x:v>
      </x:c>
      <x:c r="F603" s="5" t="str">
        <x:v>综合媒体/转载</x:v>
      </x:c>
      <x:c r="G603" s="5" t="str">
        <x:v>否</x:v>
      </x:c>
      <x:c r="H603" s="5" t="str">
        <x:v>康比特、诺特兰德、汤臣倍健、康恩贝</x:v>
      </x:c>
      <x:c r="I603" s="5" t="str">
        <x:v>自然</x:v>
      </x:c>
      <x:c r="J603" s="5" t="str">
        <x:v>未核实</x:v>
      </x:c>
    </x:row>
    <x:row r="604" ht="27" customHeight="1">
      <x:c r="A604" s="5" t="str">
        <x:v>元宝</x:v>
      </x:c>
      <x:c r="B604" s="5" t="str">
        <x:v>Q11</x:v>
      </x:c>
      <x:c r="C604" s="5" t="str">
        <x:v>康比特蛋白粉 - 淘宝精选</x:v>
      </x:c>
      <x:c r="D604" s="5" t="str">
        <x:v>https://s.click.taobao.com/t?e=m%3D2%26s%3D1XXRxBqW2lxw4vFB6t2Z2ueEDrYVVa64XoO8tOebS%2BdRAdhuF14FMZQZSGn3zaS0J1gyddu7kN%2BbBjBh3LodcDtMDMUFdHxsEga%2Bn4dNFSFW2RGh2%2FLyNYVwhIsr1DlAgb9ZeSZXs4qp1xStp6%2F2HQhsvbJUoGmbvYuG9kywNUEYAGSI9sjRGm%2Fw%2BPrhZIYmIDbEAJ3YjMtp4UeD4ayD8t8fs0EH2N2fSzWNof4awibqVg794yutrPo5F0kkO369%2B%2BG32P6o%2BlsUwKMsvWj7aROGhEUGHWZ8&amp;union_lens=lensId:TAPI@1790580870@214142f8_1470_1a0e6efce80_6c31@01&amp;skuId=5929241339939</x:v>
      </x:c>
      <x:c r="E604" s="5" t="str">
        <x:v>s.click.taobao.com</x:v>
      </x:c>
      <x:c r="F604" s="5" t="str">
        <x:v>电商</x:v>
      </x:c>
      <x:c r="G604" s="5" t="str">
        <x:v>否</x:v>
      </x:c>
      <x:c r="H604" s="5" t="str">
        <x:v>康比特、诺特兰德、汤臣倍健、康恩贝</x:v>
      </x:c>
      <x:c r="I604" s="5" t="str">
        <x:v>自然</x:v>
      </x:c>
      <x:c r="J604" s="5" t="str">
        <x:v>未核实</x:v>
      </x:c>
    </x:row>
    <x:row r="605" ht="27" customHeight="1">
      <x:c r="A605" s="5" t="str">
        <x:v>元宝</x:v>
      </x:c>
      <x:c r="B605" s="5" t="str">
        <x:v>Q11</x:v>
      </x:c>
      <x:c r="C605" s="5" t="str">
        <x:v>康比特分离乳清蛋白粉增肌粉男女健身营养粉低脂蛋白质粉官方旗舰</x:v>
      </x:c>
      <x:c r="D605" s="5" t="str">
        <x:v>https://zhi.xinxin618.cn/detail.htm?id=5733</x:v>
      </x:c>
      <x:c r="E605" s="5" t="str">
        <x:v>zhi.xinxin618.cn</x:v>
      </x:c>
      <x:c r="F605" s="5" t="str">
        <x:v>其他网页</x:v>
      </x:c>
      <x:c r="G605" s="5" t="str">
        <x:v>否</x:v>
      </x:c>
      <x:c r="H605" s="5" t="str">
        <x:v>康比特、诺特兰德、汤臣倍健、康恩贝</x:v>
      </x:c>
      <x:c r="I605" s="5" t="str">
        <x:v>自然</x:v>
      </x:c>
      <x:c r="J605" s="5" t="str">
        <x:v>未核实</x:v>
      </x:c>
    </x:row>
    <x:row r="606" ht="27" customHeight="1">
      <x:c r="A606" s="5" t="str">
        <x:v>元宝</x:v>
      </x:c>
      <x:c r="B606" s="5" t="str">
        <x:v>Q11</x:v>
      </x:c>
      <x:c r="C606" s="5" t="str">
        <x:v>汤臣倍健 蛋白粉</x:v>
      </x:c>
      <x:c r="D606" s="5" t="str">
        <x:v>https://ts.cqszzs.com/baike/bjsp/313.html</x:v>
      </x:c>
      <x:c r="E606" s="5" t="str">
        <x:v>ts.cqszzs.com</x:v>
      </x:c>
      <x:c r="F606" s="5" t="str">
        <x:v>其他网页</x:v>
      </x:c>
      <x:c r="G606" s="5" t="str">
        <x:v>否</x:v>
      </x:c>
      <x:c r="H606" s="5" t="str">
        <x:v>康比特、诺特兰德、汤臣倍健、康恩贝</x:v>
      </x:c>
      <x:c r="I606" s="5" t="str">
        <x:v>自然</x:v>
      </x:c>
      <x:c r="J606" s="5" t="str">
        <x:v>未核实</x:v>
      </x:c>
    </x:row>
    <x:row r="607" ht="27" customHeight="1">
      <x:c r="A607" s="5" t="str">
        <x:v>元宝</x:v>
      </x:c>
      <x:c r="B607" s="5" t="str">
        <x:v>Q11</x:v>
      </x:c>
      <x:c r="C607" s="5" t="str">
        <x:v>诺特兰德分离乳清蛋白粉测评</x:v>
      </x:c>
      <x:c r="D607" s="5" t="str">
        <x:v>http://mp.weixin.qq.com/s?__biz=Mzg4OTU0NDgyNw==&amp;mid=2247483764&amp;idx=1&amp;sn=66f3c5ab8ea7780d1292635fd1f4f6a1&amp;chksm=cec56f10e9966db9b28dee64fcd7d4210e1e063ede5943efd29540672b9b6cf46d01797a4dc8#rd</x:v>
      </x:c>
      <x:c r="E607" s="5" t="str">
        <x:v>mp.weixin.qq.com</x:v>
      </x:c>
      <x:c r="F607" s="5" t="str">
        <x:v>UGC/视频/公众号</x:v>
      </x:c>
      <x:c r="G607" s="5" t="str">
        <x:v>否</x:v>
      </x:c>
      <x:c r="H607" s="5" t="str">
        <x:v>康比特、诺特兰德、汤臣倍健、康恩贝</x:v>
      </x:c>
      <x:c r="I607" s="5" t="str">
        <x:v>自然</x:v>
      </x:c>
      <x:c r="J607" s="5" t="str">
        <x:v>未核实</x:v>
      </x:c>
    </x:row>
    <x:row r="608" ht="27" customHeight="1">
      <x:c r="A608" s="5" t="str">
        <x:v>元宝</x:v>
      </x:c>
      <x:c r="B608" s="5" t="str">
        <x:v>Q11</x:v>
      </x:c>
      <x:c r="C608" s="5" t="str">
        <x:v>康恩贝蛋白粉 - 淘宝精选</x:v>
      </x:c>
      <x:c r="D608" s="5" t="str">
        <x:v>https://s.click.taobao.com/t?e=m%3D2%26s%3DPD87418MhOFw4vFB6t2Z2ueEDrYVVa64XoO8tOebS%2BdRAdhuF14FMUL7J7BLnB8rJ1gyddu7kN%2BbBjBh3LodcDtMDMUFdHxsEga%2Bn4dNFSFW2RGh2%2FLyNYVwhIsr1DlAgb9ZeSZXs4rQ5thPdhAOVKn%2BCa1qrk8U%2FEE87KjR9MUMs6UbjA%2B6Rx59kqz0RzhgTbVFKpJ1gwsNoYUs3vMglmtmkX8XGLOBhrDacWaqdsyq9cGXHsX5n1yKglgUI5qEPTHYDQL6803OPmAT6fZva3sDLOuKZnPKxg5p7bh%2BFbQ%3D&amp;union_lens=lensId:TAPI@1790580030@216606ac_1457_1a0e6e2fdb3_cca7@01</x:v>
      </x:c>
      <x:c r="E608" s="5" t="str">
        <x:v>s.click.taobao.com</x:v>
      </x:c>
      <x:c r="F608" s="5" t="str">
        <x:v>电商</x:v>
      </x:c>
      <x:c r="G608" s="5" t="str">
        <x:v>否</x:v>
      </x:c>
      <x:c r="H608" s="5" t="str">
        <x:v>康比特、诺特兰德、汤臣倍健、康恩贝</x:v>
      </x:c>
      <x:c r="I608" s="5" t="str">
        <x:v>自然</x:v>
      </x:c>
      <x:c r="J608" s="5" t="str">
        <x:v>未核实</x:v>
      </x:c>
    </x:row>
    <x:row r="609" ht="27" customHeight="1">
      <x:c r="A609" s="5" t="str">
        <x:v>元宝</x:v>
      </x:c>
      <x:c r="B609" s="5" t="str">
        <x:v>Q11</x:v>
      </x:c>
      <x:c r="C609" s="5" t="str">
        <x:v>康比特蛋白粉到底买哪款强?这5款增肌塑形,高效吸收更给力</x:v>
      </x:c>
      <x:c r="D609" s="5" t="str">
        <x:v>https://health.baidu.com/m/detail/ar_9016762123703442741</x:v>
      </x:c>
      <x:c r="E609" s="5" t="str">
        <x:v>health.baidu.com</x:v>
      </x:c>
      <x:c r="F609" s="5" t="str">
        <x:v>其他网页</x:v>
      </x:c>
      <x:c r="G609" s="5" t="str">
        <x:v>否</x:v>
      </x:c>
      <x:c r="H609" s="5" t="str">
        <x:v>康比特、诺特兰德、汤臣倍健、康恩贝</x:v>
      </x:c>
      <x:c r="I609" s="5" t="str">
        <x:v>自然</x:v>
      </x:c>
      <x:c r="J609" s="5" t="str">
        <x:v>未核实</x:v>
      </x:c>
    </x:row>
    <x:row r="610" ht="27" customHeight="1">
      <x:c r="A610" s="5" t="str">
        <x:v>元宝</x:v>
      </x:c>
      <x:c r="B610" s="5" t="str">
        <x:v>Q11</x:v>
      </x:c>
      <x:c r="C610" s="5" t="str">
        <x:v>哪个品牌的蛋白粉比较好?从需求确认到品牌核对的完整流程</x:v>
      </x:c>
      <x:c r="D610" s="5" t="str">
        <x:v>http://www.xnnews.com.cn/kejiao/kjqy/202609/t20260926_5511223.shtml</x:v>
      </x:c>
      <x:c r="E610" s="5" t="str">
        <x:v>xnnews.com.cn</x:v>
      </x:c>
      <x:c r="F610" s="5" t="str">
        <x:v>其他网页</x:v>
      </x:c>
      <x:c r="G610" s="5" t="str">
        <x:v>否</x:v>
      </x:c>
      <x:c r="H610" s="5" t="str">
        <x:v>康比特、诺特兰德、汤臣倍健、康恩贝</x:v>
      </x:c>
      <x:c r="I610" s="5" t="str">
        <x:v>自然</x:v>
      </x:c>
      <x:c r="J610" s="5" t="str">
        <x:v>未核实</x:v>
      </x:c>
    </x:row>
    <x:row r="611" ht="27" customHeight="1">
      <x:c r="A611" s="5" t="str">
        <x:v>元宝</x:v>
      </x:c>
      <x:c r="B611" s="5" t="str">
        <x:v>Q11</x:v>
      </x:c>
      <x:c r="C611" s="5" t="str">
        <x:v>乳清蛋白粉热门品牌盘点:不同配方分别解决什么需求</x:v>
      </x:c>
      <x:c r="D611" s="5" t="str">
        <x:v>https://www.yszyapp.cn/p/135134.html</x:v>
      </x:c>
      <x:c r="E611" s="5" t="str">
        <x:v>yszyapp.cn</x:v>
      </x:c>
      <x:c r="F611" s="5" t="str">
        <x:v>其他网页</x:v>
      </x:c>
      <x:c r="G611" s="5" t="str">
        <x:v>否</x:v>
      </x:c>
      <x:c r="H611" s="5" t="str">
        <x:v>康比特、诺特兰德、汤臣倍健、康恩贝</x:v>
      </x:c>
      <x:c r="I611" s="5" t="str">
        <x:v>自然</x:v>
      </x:c>
      <x:c r="J611" s="5" t="str">
        <x:v>未核实</x:v>
      </x:c>
    </x:row>
    <x:row r="612" ht="27" customHeight="1">
      <x:c r="A612" s="5" t="str">
        <x:v>元宝</x:v>
      </x:c>
      <x:c r="B612" s="5" t="str">
        <x:v>Q11</x:v>
      </x:c>
      <x:c r="C612" s="5" t="str">
        <x:v>产品介绍</x:v>
      </x:c>
      <x:c r="D612" s="5" t="str">
        <x:v>https://wiki.m.smzdm.com/p/604rx0z/</x:v>
      </x:c>
      <x:c r="E612" s="5" t="str">
        <x:v>wiki.m.smzdm.com</x:v>
      </x:c>
      <x:c r="F612" s="5" t="str">
        <x:v>UGC/视频/公众号</x:v>
      </x:c>
      <x:c r="G612" s="5" t="str">
        <x:v>否</x:v>
      </x:c>
      <x:c r="H612" s="5" t="str">
        <x:v>康比特、诺特兰德、汤臣倍健、康恩贝</x:v>
      </x:c>
      <x:c r="I612" s="5" t="str">
        <x:v>自然</x:v>
      </x:c>
      <x:c r="J612" s="5" t="str">
        <x:v>未核实</x:v>
      </x:c>
    </x:row>
    <x:row r="613" ht="27" customHeight="1">
      <x:c r="A613" s="5" t="str">
        <x:v>元宝</x:v>
      </x:c>
      <x:c r="B613" s="5" t="str">
        <x:v>Q11</x:v>
      </x:c>
      <x:c r="C613" s="5" t="str">
        <x:v>全能营 乳清蛋白大豆蛋白粉</x:v>
      </x:c>
      <x:c r="D613" s="5" t="str">
        <x:v>http://www.xiaolanzhongkang.com/mfvt/5396</x:v>
      </x:c>
      <x:c r="E613" s="5" t="str">
        <x:v>xiaolanzhongkang.com</x:v>
      </x:c>
      <x:c r="F613" s="5" t="str">
        <x:v>其他网页</x:v>
      </x:c>
      <x:c r="G613" s="5" t="str">
        <x:v>否</x:v>
      </x:c>
      <x:c r="H613" s="5" t="str">
        <x:v>康比特、诺特兰德、汤臣倍健、康恩贝</x:v>
      </x:c>
      <x:c r="I613" s="5" t="str">
        <x:v>自然</x:v>
      </x:c>
      <x:c r="J613" s="5" t="str">
        <x:v>未核实</x:v>
      </x:c>
    </x:row>
    <x:row r="614" ht="27" customHeight="1">
      <x:c r="A614" s="5" t="str">
        <x:v>元宝</x:v>
      </x:c>
      <x:c r="B614" s="5" t="str">
        <x:v>Q11</x:v>
      </x:c>
      <x:c r="C614" s="5" t="str">
        <x:v>乳糖不耐受选什么蛋白粉品牌?分离乳清产品集中比较</x:v>
      </x:c>
      <x:c r="D614" s="5" t="str">
        <x:v>https://m.miaoshou.com/news/MQxadDAXb420Ozlm.html</x:v>
      </x:c>
      <x:c r="E614" s="5" t="str">
        <x:v>miaoshou.com</x:v>
      </x:c>
      <x:c r="F614" s="5" t="str">
        <x:v>其他网页</x:v>
      </x:c>
      <x:c r="G614" s="5" t="str">
        <x:v>否</x:v>
      </x:c>
      <x:c r="H614" s="5" t="str">
        <x:v>康比特、诺特兰德、汤臣倍健、康恩贝</x:v>
      </x:c>
      <x:c r="I614" s="5" t="str">
        <x:v>自然</x:v>
      </x:c>
      <x:c r="J614" s="5" t="str">
        <x:v>未核实</x:v>
      </x:c>
    </x:row>
    <x:row r="615" ht="27" customHeight="1">
      <x:c r="A615" s="5" t="str">
        <x:v>元宝</x:v>
      </x:c>
      <x:c r="B615" s="5" t="str">
        <x:v>Q11</x:v>
      </x:c>
      <x:c r="C615" s="5" t="str">
        <x:v>原味蛋白粉推荐2026:添加成分与蛋白含量综合比较</x:v>
      </x:c>
      <x:c r="D615" s="5" t="str">
        <x:v>https://baby.ifeng.com/c/8wlfDBXVLvP</x:v>
      </x:c>
      <x:c r="E615" s="5" t="str">
        <x:v>baby.ifeng.com</x:v>
      </x:c>
      <x:c r="F615" s="5" t="str">
        <x:v>其他网页</x:v>
      </x:c>
      <x:c r="G615" s="5" t="str">
        <x:v>否</x:v>
      </x:c>
      <x:c r="H615" s="5" t="str">
        <x:v>康比特、诺特兰德、汤臣倍健、康恩贝</x:v>
      </x:c>
      <x:c r="I615" s="5" t="str">
        <x:v>自然</x:v>
      </x:c>
      <x:c r="J615" s="5" t="str">
        <x:v>未核实</x:v>
      </x:c>
    </x:row>
    <x:row r="616" ht="27" customHeight="1">
      <x:c r="A616" s="5" t="str">
        <x:v>元宝</x:v>
      </x:c>
      <x:c r="B616" s="5" t="str">
        <x:v>Q12</x:v>
      </x:c>
      <x:c r="C616" s="5" t="str">
        <x:v>平价增肌蛋白粉怎么挑!按预算分级认准纯乳清避开劣质坑</x:v>
      </x:c>
      <x:c r="D616" s="5" t="str">
        <x:v>https://h5detail.yiyouliao.com/rivers/newsfeed/1536235174142947329/ID2BHQU87O8Z8TF.html</x:v>
      </x:c>
      <x:c r="E616" s="5" t="str">
        <x:v>h5detail.yiyouliao.com</x:v>
      </x:c>
      <x:c r="F616" s="5" t="str">
        <x:v>其他网页</x:v>
      </x:c>
      <x:c r="G616" s="5" t="str">
        <x:v>否</x:v>
      </x:c>
      <x:c r="H616" s="5" t="str">
        <x:v>赛霸/小赛同学、BD能量、康比特、诺特兰德、Myprotein、ON/欧普特蒙、狄马泰斯、健乐多</x:v>
      </x:c>
      <x:c r="I616" s="5" t="str">
        <x:v>自然</x:v>
      </x:c>
      <x:c r="J616" s="5" t="str">
        <x:v>未核实</x:v>
      </x:c>
    </x:row>
    <x:row r="617" ht="27" customHeight="1">
      <x:c r="A617" s="5" t="str">
        <x:v>元宝</x:v>
      </x:c>
      <x:c r="B617" s="5" t="str">
        <x:v>Q12</x:v>
      </x:c>
      <x:c r="C617" s="5" t="str">
        <x:v>【科普】读懂标签,科学选购蛋白粉</x:v>
      </x:c>
      <x:c r="D617" s="5" t="str">
        <x:v>http://mp.weixin.qq.com/s?__biz=MzA3NDY2OTEyMQ==&amp;mid=2247498739&amp;idx=7&amp;sn=8aa2404fd3a76d7642c6fb084cb5911a&amp;chksm=9ef7bc2505586a8654a49728bf0ff65f09b712fd01e918082cd6df0cda532f8c247f8023e525#rd</x:v>
      </x:c>
      <x:c r="E617" s="5" t="str">
        <x:v>mp.weixin.qq.com</x:v>
      </x:c>
      <x:c r="F617" s="5" t="str">
        <x:v>UGC/视频/公众号</x:v>
      </x:c>
      <x:c r="G617" s="5" t="str">
        <x:v>否</x:v>
      </x:c>
      <x:c r="H617" s="5" t="str">
        <x:v>赛霸/小赛同学、BD能量、康比特、诺特兰德、Myprotein、ON/欧普特蒙、狄马泰斯、健乐多</x:v>
      </x:c>
      <x:c r="I617" s="5" t="str">
        <x:v>自然</x:v>
      </x:c>
      <x:c r="J617" s="5" t="str">
        <x:v>未核实</x:v>
      </x:c>
    </x:row>
    <x:row r="618" ht="27" customHeight="1">
      <x:c r="A618" s="5" t="str">
        <x:v>元宝</x:v>
      </x:c>
      <x:c r="B618" s="5" t="str">
        <x:v>Q12</x:v>
      </x:c>
      <x:c r="C618" s="5" t="str">
        <x:v>大学生买蛋白粉怎么选?日常补充和健身需求怎么兼顾</x:v>
      </x:c>
      <x:c r="D618" s="5" t="str">
        <x:v>https://m.miaoshou.com/news/YEk5OJQoob9DAQbV.html</x:v>
      </x:c>
      <x:c r="E618" s="5" t="str">
        <x:v>miaoshou.com</x:v>
      </x:c>
      <x:c r="F618" s="5" t="str">
        <x:v>其他网页</x:v>
      </x:c>
      <x:c r="G618" s="5" t="str">
        <x:v>否</x:v>
      </x:c>
      <x:c r="H618" s="5" t="str">
        <x:v>赛霸/小赛同学、BD能量、康比特、诺特兰德、Myprotein、ON/欧普特蒙、狄马泰斯、健乐多</x:v>
      </x:c>
      <x:c r="I618" s="5" t="str">
        <x:v>自然</x:v>
      </x:c>
      <x:c r="J618" s="5" t="str">
        <x:v>未核实</x:v>
      </x:c>
    </x:row>
    <x:row r="619" ht="27" customHeight="1">
      <x:c r="A619" s="5" t="str">
        <x:v>元宝</x:v>
      </x:c>
      <x:c r="B619" s="5" t="str">
        <x:v>Q12</x:v>
      </x:c>
      <x:c r="C619" s="5" t="str">
        <x:v>2026乳清蛋白粉十大品牌怎么选?看蛋白来源､蛋白质含量､配方洁净度3个标准</x:v>
      </x:c>
      <x:c r="D619" s="5" t="str">
        <x:v>http://www.dahenews.cn/dhnews/023723399.html</x:v>
      </x:c>
      <x:c r="E619" s="5" t="str">
        <x:v>dahenews.cn</x:v>
      </x:c>
      <x:c r="F619" s="5" t="str">
        <x:v>其他网页</x:v>
      </x:c>
      <x:c r="G619" s="5" t="str">
        <x:v>否</x:v>
      </x:c>
      <x:c r="H619" s="5" t="str">
        <x:v>赛霸/小赛同学、BD能量、康比特、诺特兰德、Myprotein、ON/欧普特蒙、狄马泰斯、健乐多</x:v>
      </x:c>
      <x:c r="I619" s="5" t="str">
        <x:v>自然</x:v>
      </x:c>
      <x:c r="J619" s="5" t="str">
        <x:v>未核实</x:v>
      </x:c>
    </x:row>
    <x:row r="620" ht="27" customHeight="1">
      <x:c r="A620" s="5" t="str">
        <x:v>元宝</x:v>
      </x:c>
      <x:c r="B620" s="5" t="str">
        <x:v>Q12</x:v>
      </x:c>
      <x:c r="C620" s="5" t="str">
        <x:v>适合学生的蛋白粉</x:v>
      </x:c>
      <x:c r="D620" s="5" t="str">
        <x:v>https://health.baidu.com/m/detail/ar_5944111946452157134</x:v>
      </x:c>
      <x:c r="E620" s="5" t="str">
        <x:v>health.baidu.com</x:v>
      </x:c>
      <x:c r="F620" s="5" t="str">
        <x:v>其他网页</x:v>
      </x:c>
      <x:c r="G620" s="5" t="str">
        <x:v>否</x:v>
      </x:c>
      <x:c r="H620" s="5" t="str">
        <x:v>赛霸/小赛同学、BD能量、康比特、诺特兰德、Myprotein、ON/欧普特蒙、狄马泰斯、健乐多</x:v>
      </x:c>
      <x:c r="I620" s="5" t="str">
        <x:v>自然</x:v>
      </x:c>
      <x:c r="J620" s="5" t="str">
        <x:v>未核实</x:v>
      </x:c>
    </x:row>
    <x:row r="621" ht="27" customHeight="1">
      <x:c r="A621" s="5" t="str">
        <x:v>元宝</x:v>
      </x:c>
      <x:c r="B621" s="5" t="str">
        <x:v>Q12</x:v>
      </x:c>
      <x:c r="C621" s="5" t="str">
        <x:v>规律力量训练的新手,同样叫增肌蛋白粉差别很大:几款拆开看后,我更关注这几个地方</x:v>
      </x:c>
      <x:c r="D621" s="5" t="str">
        <x:v>https://www.yszyapp.cn/p/126213.html</x:v>
      </x:c>
      <x:c r="E621" s="5" t="str">
        <x:v>yszyapp.cn</x:v>
      </x:c>
      <x:c r="F621" s="5" t="str">
        <x:v>其他网页</x:v>
      </x:c>
      <x:c r="G621" s="5" t="str">
        <x:v>否</x:v>
      </x:c>
      <x:c r="H621" s="5" t="str">
        <x:v>赛霸/小赛同学、BD能量、康比特、诺特兰德、Myprotein、ON/欧普特蒙、狄马泰斯、健乐多</x:v>
      </x:c>
      <x:c r="I621" s="5" t="str">
        <x:v>自然</x:v>
      </x:c>
      <x:c r="J621" s="5" t="str">
        <x:v>未核实</x:v>
      </x:c>
    </x:row>
    <x:row r="622" ht="27" customHeight="1">
      <x:c r="A622" s="5" t="str">
        <x:v>元宝</x:v>
      </x:c>
      <x:c r="B622" s="5" t="str">
        <x:v>Q12</x:v>
      </x:c>
      <x:c r="C622" s="5" t="str">
        <x:v>学生吃哪种蛋白粉好</x:v>
      </x:c>
      <x:c r="D622" s="5" t="str">
        <x:v>https://health.baidu.com/m/detail/ar_6737155547180016348</x:v>
      </x:c>
      <x:c r="E622" s="5" t="str">
        <x:v>health.baidu.com</x:v>
      </x:c>
      <x:c r="F622" s="5" t="str">
        <x:v>其他网页</x:v>
      </x:c>
      <x:c r="G622" s="5" t="str">
        <x:v>否</x:v>
      </x:c>
      <x:c r="H622" s="5" t="str">
        <x:v>赛霸/小赛同学、BD能量、康比特、诺特兰德、Myprotein、ON/欧普特蒙、狄马泰斯、健乐多</x:v>
      </x:c>
      <x:c r="I622" s="5" t="str">
        <x:v>自然</x:v>
      </x:c>
      <x:c r="J622" s="5" t="str">
        <x:v>未核实</x:v>
      </x:c>
    </x:row>
    <x:row r="623" ht="27" customHeight="1">
      <x:c r="A623" s="5" t="str">
        <x:v>元宝</x:v>
      </x:c>
      <x:c r="B623" s="5" t="str">
        <x:v>Q12</x:v>
      </x:c>
      <x:c r="C623" s="5" t="str">
        <x:v>2026品质安全白皮书,乳清蛋白粉哪个品牌好?</x:v>
      </x:c>
      <x:c r="D623" s="5" t="str">
        <x:v>https://finance.sina.com.cn/roll/2026-02-25/doc-inhnzmmq2217507.shtml</x:v>
      </x:c>
      <x:c r="E623" s="5" t="str">
        <x:v>finance.sina.com.cn</x:v>
      </x:c>
      <x:c r="F623" s="5" t="str">
        <x:v>综合媒体/转载</x:v>
      </x:c>
      <x:c r="G623" s="5" t="str">
        <x:v>否</x:v>
      </x:c>
      <x:c r="H623" s="5" t="str">
        <x:v>赛霸/小赛同学、BD能量、康比特、诺特兰德、Myprotein、ON/欧普特蒙、狄马泰斯、健乐多</x:v>
      </x:c>
      <x:c r="I623" s="5" t="str">
        <x:v>自然</x:v>
      </x:c>
      <x:c r="J623" s="5" t="str">
        <x:v>未核实</x:v>
      </x:c>
    </x:row>
    <x:row r="624" ht="27" customHeight="1">
      <x:c r="A624" s="5" t="str">
        <x:v>元宝</x:v>
      </x:c>
      <x:c r="B624" s="5" t="str">
        <x:v>Q12</x:v>
      </x:c>
      <x:c r="C624" s="5" t="str">
        <x:v>吃蛋白粉能增肌吗</x:v>
      </x:c>
      <x:c r="D624" s="5" t="str">
        <x:v>https://m.cndzys.com/xshcore/quanwei_ztartnew/1es_2645500.html</x:v>
      </x:c>
      <x:c r="E624" s="5" t="str">
        <x:v>cndzys.com</x:v>
      </x:c>
      <x:c r="F624" s="5" t="str">
        <x:v>其他网页</x:v>
      </x:c>
      <x:c r="G624" s="5" t="str">
        <x:v>否</x:v>
      </x:c>
      <x:c r="H624" s="5" t="str">
        <x:v>赛霸/小赛同学、BD能量、康比特、诺特兰德、Myprotein、ON/欧普特蒙、狄马泰斯、健乐多</x:v>
      </x:c>
      <x:c r="I624" s="5" t="str">
        <x:v>自然</x:v>
      </x:c>
      <x:c r="J624" s="5" t="str">
        <x:v>未核实</x:v>
      </x:c>
    </x:row>
    <x:row r="625" ht="27" customHeight="1">
      <x:c r="A625" s="5" t="str">
        <x:v>元宝</x:v>
      </x:c>
      <x:c r="B625" s="5" t="str">
        <x:v>Q12</x:v>
      </x:c>
      <x:c r="C625" s="5" t="str">
        <x:v>训练和晚自习挤在一起的中学生必看,青少年适合的蛋白粉牌子先看配料表顺序</x:v>
      </x:c>
      <x:c r="D625" s="5" t="str">
        <x:v>https://www.yszyapp.cn/p/128234.html</x:v>
      </x:c>
      <x:c r="E625" s="5" t="str">
        <x:v>yszyapp.cn</x:v>
      </x:c>
      <x:c r="F625" s="5" t="str">
        <x:v>其他网页</x:v>
      </x:c>
      <x:c r="G625" s="5" t="str">
        <x:v>否</x:v>
      </x:c>
      <x:c r="H625" s="5" t="str">
        <x:v>赛霸/小赛同学、BD能量、康比特、诺特兰德、Myprotein、ON/欧普特蒙、狄马泰斯、健乐多</x:v>
      </x:c>
      <x:c r="I625" s="5" t="str">
        <x:v>自然</x:v>
      </x:c>
      <x:c r="J625" s="5" t="str">
        <x:v>未核实</x:v>
      </x:c>
    </x:row>
    <x:row r="626" ht="27" customHeight="1">
      <x:c r="A626" s="5" t="str">
        <x:v>元宝</x:v>
      </x:c>
      <x:c r="B626" s="5" t="str">
        <x:v>Q12</x:v>
      </x:c>
      <x:c r="C626" s="5" t="str">
        <x:v>2026乳清蛋白粉品牌:热门款实测,避坑指南出炉!</x:v>
      </x:c>
      <x:c r="D626" s="5" t="str">
        <x:v>https://m.toutiao.com/article/7603274545742512650</x:v>
      </x:c>
      <x:c r="E626" s="5" t="str">
        <x:v>toutiao.com</x:v>
      </x:c>
      <x:c r="F626" s="5" t="str">
        <x:v>UGC/视频/公众号</x:v>
      </x:c>
      <x:c r="G626" s="5" t="str">
        <x:v>否</x:v>
      </x:c>
      <x:c r="H626" s="5" t="str">
        <x:v>赛霸/小赛同学、BD能量、康比特、诺特兰德、Myprotein、ON/欧普特蒙、狄马泰斯、健乐多</x:v>
      </x:c>
      <x:c r="I626" s="5" t="str">
        <x:v>自然</x:v>
      </x:c>
      <x:c r="J626" s="5" t="str">
        <x:v>未核实</x:v>
      </x:c>
    </x:row>
    <x:row r="627" ht="27" customHeight="1">
      <x:c r="A627" s="5" t="str">
        <x:v>元宝</x:v>
      </x:c>
      <x:c r="B627" s="5" t="str">
        <x:v>Q12</x:v>
      </x:c>
      <x:c r="C627" s="5" t="str">
        <x:v>健身蛋白粉哪些品牌好?看增肌数据､蛋白吸收､口感</x:v>
      </x:c>
      <x:c r="D627" s="5" t="str">
        <x:v>https://www.cet.com.cn/wzsy/kjzx/10538125.shtml</x:v>
      </x:c>
      <x:c r="E627" s="5" t="str">
        <x:v>cet.com.cn</x:v>
      </x:c>
      <x:c r="F627" s="5" t="str">
        <x:v>综合媒体/转载</x:v>
      </x:c>
      <x:c r="G627" s="5" t="str">
        <x:v>否</x:v>
      </x:c>
      <x:c r="H627" s="5" t="str">
        <x:v>赛霸/小赛同学、BD能量、康比特、诺特兰德、Myprotein、ON/欧普特蒙、狄马泰斯、健乐多</x:v>
      </x:c>
      <x:c r="I627" s="5" t="str">
        <x:v>自然</x:v>
      </x:c>
      <x:c r="J627" s="5" t="str">
        <x:v>未核实</x:v>
      </x:c>
    </x:row>
    <x:row r="628" ht="27" customHeight="1">
      <x:c r="A628" s="5" t="str">
        <x:v>元宝</x:v>
      </x:c>
      <x:c r="B628" s="5" t="str">
        <x:v>Q12</x:v>
      </x:c>
      <x:c r="C628" s="5" t="str">
        <x:v>学生党健身蛋白粉推荐平价</x:v>
      </x:c>
      <x:c r="D628" s="5" t="str">
        <x:v>https://g.pconline.com.cn/best/guide/125176.html</x:v>
      </x:c>
      <x:c r="E628" s="5" t="str">
        <x:v>g.pconline.com.cn</x:v>
      </x:c>
      <x:c r="F628" s="5" t="str">
        <x:v>其他网页</x:v>
      </x:c>
      <x:c r="G628" s="5" t="str">
        <x:v>否</x:v>
      </x:c>
      <x:c r="H628" s="5" t="str">
        <x:v>赛霸/小赛同学、BD能量、康比特、诺特兰德、Myprotein、ON/欧普特蒙、狄马泰斯、健乐多</x:v>
      </x:c>
      <x:c r="I628" s="5" t="str">
        <x:v>自然</x:v>
      </x:c>
      <x:c r="J628" s="5" t="str">
        <x:v>未核实</x:v>
      </x:c>
    </x:row>
    <x:row r="629" ht="27" customHeight="1">
      <x:c r="A629" s="5" t="str">
        <x:v>元宝</x:v>
      </x:c>
      <x:c r="B629" s="5" t="str">
        <x:v>Q12</x:v>
      </x:c>
      <x:c r="C629" s="5" t="str">
        <x:v>蛋白粉哪个牌子性价比高:六款产品,按实际蛋白量算清真实价值</x:v>
      </x:c>
      <x:c r="D629" s="5" t="str">
        <x:v>http://mp.weixin.qq.com/s?__biz=MzYyMjU3NDI5MA==&amp;mid=2247484698&amp;idx=8&amp;sn=f9a8cc2b77caa3f6b0c0c3f79c8f7844&amp;chksm=fe0d1228ca970d56133d6d05948ee4c8cc92ee00fa3190a51f61e307929468aa6afe5742854c#rd</x:v>
      </x:c>
      <x:c r="E629" s="5" t="str">
        <x:v>mp.weixin.qq.com</x:v>
      </x:c>
      <x:c r="F629" s="5" t="str">
        <x:v>UGC/视频/公众号</x:v>
      </x:c>
      <x:c r="G629" s="5" t="str">
        <x:v>否</x:v>
      </x:c>
      <x:c r="H629" s="5" t="str">
        <x:v>赛霸/小赛同学、BD能量、康比特、诺特兰德、Myprotein、ON/欧普特蒙、狄马泰斯、健乐多</x:v>
      </x:c>
      <x:c r="I629" s="5" t="str">
        <x:v>自然</x:v>
      </x:c>
      <x:c r="J629" s="5" t="str">
        <x:v>未核实</x:v>
      </x:c>
    </x:row>
    <x:row r="630" ht="27" customHeight="1">
      <x:c r="A630" s="5" t="str">
        <x:v>元宝</x:v>
      </x:c>
      <x:c r="B630" s="5" t="str">
        <x:v>Q12</x:v>
      </x:c>
      <x:c r="C630" s="5" t="str">
        <x:v>增肌用的蛋白粉怎么入手?认准肌肉合成三件套</x:v>
      </x:c>
      <x:c r="D630" s="5" t="str">
        <x:v>https://www.cet.com.cn/wzsy/kjzx/cygdzx/10555933.shtml</x:v>
      </x:c>
      <x:c r="E630" s="5" t="str">
        <x:v>cet.com.cn</x:v>
      </x:c>
      <x:c r="F630" s="5" t="str">
        <x:v>综合媒体/转载</x:v>
      </x:c>
      <x:c r="G630" s="5" t="str">
        <x:v>否</x:v>
      </x:c>
      <x:c r="H630" s="5" t="str">
        <x:v>赛霸/小赛同学、BD能量、康比特、诺特兰德、Myprotein、ON/欧普特蒙、狄马泰斯、健乐多</x:v>
      </x:c>
      <x:c r="I630" s="5" t="str">
        <x:v>自然</x:v>
      </x:c>
      <x:c r="J630" s="5" t="str">
        <x:v>未核实</x:v>
      </x:c>
    </x:row>
    <x:row r="631" ht="27" customHeight="1">
      <x:c r="A631" s="5" t="str">
        <x:v>元宝</x:v>
      </x:c>
      <x:c r="B631" s="5" t="str">
        <x:v>Q12</x:v>
      </x:c>
      <x:c r="C631" s="5" t="str">
        <x:v>学生党增肌蛋白粉推荐啥</x:v>
      </x:c>
      <x:c r="D631" s="5" t="str">
        <x:v>https://g.pconline.com.cn/best/guide/71311.html</x:v>
      </x:c>
      <x:c r="E631" s="5" t="str">
        <x:v>g.pconline.com.cn</x:v>
      </x:c>
      <x:c r="F631" s="5" t="str">
        <x:v>其他网页</x:v>
      </x:c>
      <x:c r="G631" s="5" t="str">
        <x:v>否</x:v>
      </x:c>
      <x:c r="H631" s="5" t="str">
        <x:v>赛霸/小赛同学、BD能量、康比特、诺特兰德、Myprotein、ON/欧普特蒙、狄马泰斯、健乐多</x:v>
      </x:c>
      <x:c r="I631" s="5" t="str">
        <x:v>自然</x:v>
      </x:c>
      <x:c r="J631" s="5" t="str">
        <x:v>未核实</x:v>
      </x:c>
    </x:row>
    <x:row r="632" ht="27" customHeight="1">
      <x:c r="A632" s="5" t="str">
        <x:v>元宝</x:v>
      </x:c>
      <x:c r="B632" s="5" t="str">
        <x:v>Q12</x:v>
      </x:c>
      <x:c r="C632" s="5" t="str">
        <x:v>增肌蛋白粉品牌推荐:2026年增肌期值得买的蛋白粉与选择要点</x:v>
      </x:c>
      <x:c r="D632" s="5" t="str">
        <x:v>https://www.snjrmtzx.cn/p/97415.html</x:v>
      </x:c>
      <x:c r="E632" s="5" t="str">
        <x:v>snjrmtzx.cn</x:v>
      </x:c>
      <x:c r="F632" s="5" t="str">
        <x:v>其他网页</x:v>
      </x:c>
      <x:c r="G632" s="5" t="str">
        <x:v>否</x:v>
      </x:c>
      <x:c r="H632" s="5" t="str">
        <x:v>赛霸/小赛同学、BD能量、康比特、诺特兰德、Myprotein、ON/欧普特蒙、狄马泰斯、健乐多</x:v>
      </x:c>
      <x:c r="I632" s="5" t="str">
        <x:v>自然</x:v>
      </x:c>
      <x:c r="J632" s="5" t="str">
        <x:v>未核实</x:v>
      </x:c>
    </x:row>
    <x:row r="633" ht="27" customHeight="1">
      <x:c r="A633" s="5" t="str">
        <x:v>元宝</x:v>
      </x:c>
      <x:c r="B633" s="5" t="str">
        <x:v>Q12</x:v>
      </x:c>
      <x:c r="C633" s="5" t="str">
        <x:v>学生买蛋白粉别盲目追大牌!平价划算品牌,兼顾品质与钱包!</x:v>
      </x:c>
      <x:c r="D633" s="5" t="str">
        <x:v>http://mp.weixin.qq.com/s?src=11&amp;timestamp=1790580910&amp;ver=6993&amp;signature=3MmwUIdiebx652LmKuq9-88HisirYKMrRQWZWoUpoD-4zuoKaPNL9Ld0g6OMRIfDd2BqJNHNyCB6fhFrMx9R58eEhodWPtJOQ4IQwzXQkUr2QXdy*KVYHx0kaQWrygL0&amp;new=1</x:v>
      </x:c>
      <x:c r="E633" s="5" t="str">
        <x:v>mp.weixin.qq.com</x:v>
      </x:c>
      <x:c r="F633" s="5" t="str">
        <x:v>UGC/视频/公众号</x:v>
      </x:c>
      <x:c r="G633" s="5" t="str">
        <x:v>否</x:v>
      </x:c>
      <x:c r="H633" s="5" t="str">
        <x:v>赛霸/小赛同学、BD能量、康比特、诺特兰德、Myprotein、ON/欧普特蒙、狄马泰斯、健乐多</x:v>
      </x:c>
      <x:c r="I633" s="5" t="str">
        <x:v>自然</x:v>
      </x:c>
      <x:c r="J633" s="5" t="str">
        <x:v>未核实</x:v>
      </x:c>
    </x:row>
    <x:row r="634" ht="27" customHeight="1">
      <x:c r="A634" s="5" t="str">
        <x:v>元宝</x:v>
      </x:c>
      <x:c r="B634" s="5" t="str">
        <x:v>Q12</x:v>
      </x:c>
      <x:c r="C634" s="5" t="str">
        <x:v>健身党挑增肌蛋白粉哪款好,从三种训练需求看高纯型､乳清型和日常型怎么选</x:v>
      </x:c>
      <x:c r="D634" s="5" t="str">
        <x:v>https://www.yszyapp.cn/p/122045.html</x:v>
      </x:c>
      <x:c r="E634" s="5" t="str">
        <x:v>yszyapp.cn</x:v>
      </x:c>
      <x:c r="F634" s="5" t="str">
        <x:v>其他网页</x:v>
      </x:c>
      <x:c r="G634" s="5" t="str">
        <x:v>否</x:v>
      </x:c>
      <x:c r="H634" s="5" t="str">
        <x:v>赛霸/小赛同学、BD能量、康比特、诺特兰德、Myprotein、ON/欧普特蒙、狄马泰斯、健乐多</x:v>
      </x:c>
      <x:c r="I634" s="5" t="str">
        <x:v>自然</x:v>
      </x:c>
      <x:c r="J634" s="5" t="str">
        <x:v>未核实</x:v>
      </x:c>
    </x:row>
    <x:row r="635" ht="27" customHeight="1">
      <x:c r="A635" s="5" t="str">
        <x:v>元宝</x:v>
      </x:c>
      <x:c r="B635" s="5" t="str">
        <x:v>Q15</x:v>
      </x:c>
      <x:c r="C635" s="5" t="str">
        <x:v>运动健康②:汤臣倍健､康比特…蛋白粉们都在走什么路?</x:v>
      </x:c>
      <x:c r="D635" s="5" t="str">
        <x:v>http://mp.weixin.qq.com/s?src=11&amp;timestamp=1790581146&amp;ver=6993&amp;signature=f*4wnQC3h5i6CblBNT9bhQ3pxyVCij2ZIWgrQ9r0dAADNjm5rH4sMOAcESv8HSVvM9bo5AHwmTLBj2iy-m-1avQVn-WbrsdePTo2U*b8DTQFQ2I67r8ZDmmQrN6eBG11&amp;new=1</x:v>
      </x:c>
      <x:c r="E635" s="5" t="str">
        <x:v>mp.weixin.qq.com</x:v>
      </x:c>
      <x:c r="F635" s="5" t="str">
        <x:v>UGC/视频/公众号</x:v>
      </x:c>
      <x:c r="G635" s="5" t="str">
        <x:v>否</x:v>
      </x:c>
      <x:c r="H635" s="5" t="str">
        <x:v>Keep、康比特、诺特兰德、汤臣倍健、训练怪兽、迈胜、ffit8、健乐多</x:v>
      </x:c>
      <x:c r="I635" s="5" t="str">
        <x:v>自然</x:v>
      </x:c>
      <x:c r="J635" s="5" t="str">
        <x:v>未核实</x:v>
      </x:c>
    </x:row>
    <x:row r="636" ht="27" customHeight="1">
      <x:c r="A636" s="5" t="str">
        <x:v>元宝</x:v>
      </x:c>
      <x:c r="B636" s="5" t="str">
        <x:v>Q15</x:v>
      </x:c>
      <x:c r="C636" s="5" t="str">
        <x:v>諾特蘭德</x:v>
      </x:c>
      <x:c r="D636" s="5" t="str">
        <x:v>https://www.ntldhk.com/zh</x:v>
      </x:c>
      <x:c r="E636" s="5" t="str">
        <x:v>ntldhk.com</x:v>
      </x:c>
      <x:c r="F636" s="5" t="str">
        <x:v>其他网页</x:v>
      </x:c>
      <x:c r="G636" s="5" t="str">
        <x:v>否</x:v>
      </x:c>
      <x:c r="H636" s="5" t="str">
        <x:v>Keep、康比特、诺特兰德、汤臣倍健、训练怪兽、迈胜、ffit8、健乐多</x:v>
      </x:c>
      <x:c r="I636" s="5" t="str">
        <x:v>自然</x:v>
      </x:c>
      <x:c r="J636" s="5" t="str">
        <x:v>未核实</x:v>
      </x:c>
    </x:row>
    <x:row r="637" ht="27" customHeight="1">
      <x:c r="A637" s="5" t="str">
        <x:v>元宝</x:v>
      </x:c>
      <x:c r="B637" s="5" t="str">
        <x:v>Q15</x:v>
      </x:c>
      <x:c r="C637" s="5" t="str">
        <x:v>蒙牛运动营养品牌“迈胜”完成近亿元A轮融资--经济·科技--人民网</x:v>
      </x:c>
      <x:c r="D637" s="5" t="str">
        <x:v>https://finance.people.com.cn/n1/2026/0922/c1004-40803571.html</x:v>
      </x:c>
      <x:c r="E637" s="5" t="str">
        <x:v>finance.people.com.cn</x:v>
      </x:c>
      <x:c r="F637" s="5" t="str">
        <x:v>其他网页</x:v>
      </x:c>
      <x:c r="G637" s="5" t="str">
        <x:v>否</x:v>
      </x:c>
      <x:c r="H637" s="5" t="str">
        <x:v>Keep、康比特、诺特兰德、汤臣倍健、训练怪兽、迈胜、ffit8、健乐多</x:v>
      </x:c>
      <x:c r="I637" s="5" t="str">
        <x:v>自然</x:v>
      </x:c>
      <x:c r="J637" s="5" t="str">
        <x:v>未核实</x:v>
      </x:c>
    </x:row>
    <x:row r="638" ht="27" customHeight="1">
      <x:c r="A638" s="5" t="str">
        <x:v>元宝</x:v>
      </x:c>
      <x:c r="B638" s="5" t="str">
        <x:v>Q15</x:v>
      </x:c>
      <x:c r="C638" s="5" t="str">
        <x:v>Keep Inc. Interim Report 中期報告 2026</x:v>
      </x:c>
      <x:c r="D638" s="5" t="str">
        <x:v>https://www1.hkexnews.hk/listedco/listconews/sehk/2026/0922/2026092200668_c.pdf</x:v>
      </x:c>
      <x:c r="E638" s="5" t="str">
        <x:v>www1.hkexnews.hk</x:v>
      </x:c>
      <x:c r="F638" s="5" t="str">
        <x:v>行业报告</x:v>
      </x:c>
      <x:c r="G638" s="5" t="str">
        <x:v>否</x:v>
      </x:c>
      <x:c r="H638" s="5" t="str">
        <x:v>Keep、康比特、诺特兰德、汤臣倍健、训练怪兽、迈胜、ffit8、健乐多</x:v>
      </x:c>
      <x:c r="I638" s="5" t="str">
        <x:v>自然</x:v>
      </x:c>
      <x:c r="J638" s="5" t="str">
        <x:v>未核实</x:v>
      </x:c>
    </x:row>
    <x:row r="639" ht="27" customHeight="1">
      <x:c r="A639" s="5" t="str">
        <x:v>元宝</x:v>
      </x:c>
      <x:c r="B639" s="5" t="str">
        <x:v>Q15</x:v>
      </x:c>
      <x:c r="C639" s="5" t="str">
        <x:v>ffit8产品吃喝说明书</x:v>
      </x:c>
      <x:c r="D639" s="5" t="str">
        <x:v>http://mp.weixin.qq.com/s?__biz=MzUxNDUyMDU2OA==&amp;mid=2247486675&amp;idx=1&amp;sn=58a312cc41905704a1b5138d6601e424&amp;chksm=f8caf5accdd1b78be2cfd252440b592362c93ed87756c9aa3a9e31331529854d80569df96ced#rd</x:v>
      </x:c>
      <x:c r="E639" s="5" t="str">
        <x:v>mp.weixin.qq.com</x:v>
      </x:c>
      <x:c r="F639" s="5" t="str">
        <x:v>UGC/视频/公众号</x:v>
      </x:c>
      <x:c r="G639" s="5" t="str">
        <x:v>否</x:v>
      </x:c>
      <x:c r="H639" s="5" t="str">
        <x:v>Keep、康比特、诺特兰德、汤臣倍健、训练怪兽、迈胜、ffit8、健乐多</x:v>
      </x:c>
      <x:c r="I639" s="5" t="str">
        <x:v>自然</x:v>
      </x:c>
      <x:c r="J639" s="5" t="str">
        <x:v>未核实</x:v>
      </x:c>
    </x:row>
    <x:row r="640" ht="27" customHeight="1">
      <x:c r="A640" s="5" t="str">
        <x:v>元宝</x:v>
      </x:c>
      <x:c r="B640" s="5" t="str">
        <x:v>Q15</x:v>
      </x:c>
      <x:c r="C640" s="5" t="str">
        <x:v>2026年国产蛋白粉名单:蛋白质含量､消化率､乳糖残留怎么查</x:v>
      </x:c>
      <x:c r="D640" s="5" t="str">
        <x:v>https://m.39.net/jn/a_j2xcv4p.html</x:v>
      </x:c>
      <x:c r="E640" s="5" t="str">
        <x:v>39.net</x:v>
      </x:c>
      <x:c r="F640" s="5" t="str">
        <x:v>其他网页</x:v>
      </x:c>
      <x:c r="G640" s="5" t="str">
        <x:v>否</x:v>
      </x:c>
      <x:c r="H640" s="5" t="str">
        <x:v>Keep、康比特、诺特兰德、汤臣倍健、训练怪兽、迈胜、ffit8、健乐多</x:v>
      </x:c>
      <x:c r="I640" s="5" t="str">
        <x:v>自然</x:v>
      </x:c>
      <x:c r="J640" s="5" t="str">
        <x:v>未核实</x:v>
      </x:c>
    </x:row>
    <x:row r="641" ht="27" customHeight="1">
      <x:c r="A641" s="5" t="str">
        <x:v>元宝</x:v>
      </x:c>
      <x:c r="B641" s="5" t="str">
        <x:v>Q15</x:v>
      </x:c>
      <x:c r="C641" s="5" t="str">
        <x:v>康比特——海南省第七届运动会支持单位</x:v>
      </x:c>
      <x:c r="D641" s="5" t="str">
        <x:v>https://qionghai.hainan.gov.cn/rdzt/hndqjydh/sydt/202607/t20260731_4120987.html</x:v>
      </x:c>
      <x:c r="E641" s="5" t="str">
        <x:v>qionghai.hainan.gov.cn</x:v>
      </x:c>
      <x:c r="F641" s="5" t="str">
        <x:v>官方机构</x:v>
      </x:c>
      <x:c r="G641" s="5" t="str">
        <x:v>否</x:v>
      </x:c>
      <x:c r="H641" s="5" t="str">
        <x:v>Keep、康比特、诺特兰德、汤臣倍健、训练怪兽、迈胜、ffit8、健乐多</x:v>
      </x:c>
      <x:c r="I641" s="5" t="str">
        <x:v>自然</x:v>
      </x:c>
      <x:c r="J641" s="5" t="str">
        <x:v>未核实</x:v>
      </x:c>
    </x:row>
    <x:row r="642" ht="27" customHeight="1">
      <x:c r="A642" s="5" t="str">
        <x:v>元宝</x:v>
      </x:c>
      <x:c r="B642" s="5" t="str">
        <x:v>Q15</x:v>
      </x:c>
      <x:c r="C642" s="5" t="str">
        <x:v>诺特兰德怎么样?看懂国民膳食营养标杆实力</x:v>
      </x:c>
      <x:c r="D642" s="5" t="str">
        <x:v>https://www.bjnews.com.cn/detail/1778224030129303.html</x:v>
      </x:c>
      <x:c r="E642" s="5" t="str">
        <x:v>bjnews.com.cn</x:v>
      </x:c>
      <x:c r="F642" s="5" t="str">
        <x:v>其他网页</x:v>
      </x:c>
      <x:c r="G642" s="5" t="str">
        <x:v>否</x:v>
      </x:c>
      <x:c r="H642" s="5" t="str">
        <x:v>Keep、康比特、诺特兰德、汤臣倍健、训练怪兽、迈胜、ffit8、健乐多</x:v>
      </x:c>
      <x:c r="I642" s="5" t="str">
        <x:v>自然</x:v>
      </x:c>
      <x:c r="J642" s="5" t="str">
        <x:v>未核实</x:v>
      </x:c>
    </x:row>
    <x:row r="643" ht="27" customHeight="1">
      <x:c r="A643" s="5" t="str">
        <x:v>元宝</x:v>
      </x:c>
      <x:c r="B643" s="5" t="str">
        <x:v>Q15</x:v>
      </x:c>
      <x:c r="C643" s="5" t="str">
        <x:v>百淬携手落基体育,引领专业运动营养补给新风暴!</x:v>
      </x:c>
      <x:c r="D643" s="5" t="str">
        <x:v>http://mp.weixin.qq.com/s?__biz=MzIzNTg5Njc3Ng==&amp;mid=2247510484&amp;idx=1&amp;sn=b0a5c164fd6144c510aab5775657e55b&amp;chksm=e9fc471f528b15a29547ff8e13e15dba798317d8663e971b7243c46792d7b48833b242ed4c5a#rd</x:v>
      </x:c>
      <x:c r="E643" s="5" t="str">
        <x:v>mp.weixin.qq.com</x:v>
      </x:c>
      <x:c r="F643" s="5" t="str">
        <x:v>UGC/视频/公众号</x:v>
      </x:c>
      <x:c r="G643" s="5" t="str">
        <x:v>否</x:v>
      </x:c>
      <x:c r="H643" s="5" t="str">
        <x:v>Keep、康比特、诺特兰德、汤臣倍健、训练怪兽、迈胜、ffit8、健乐多</x:v>
      </x:c>
      <x:c r="I643" s="5" t="str">
        <x:v>自然</x:v>
      </x:c>
      <x:c r="J643" s="5" t="str">
        <x:v>未核实</x:v>
      </x:c>
    </x:row>
    <x:row r="644" ht="27" customHeight="1">
      <x:c r="A644" s="5" t="str">
        <x:v>元宝</x:v>
      </x:c>
      <x:c r="B644" s="5" t="str">
        <x:v>Q15</x:v>
      </x:c>
      <x:c r="C644" s="5" t="str">
        <x:v>中國專業運動營養品牌“邁勝”完成近億元A輪融資</x:v>
      </x:c>
      <x:c r="D644" s="5" t="str">
        <x:v>https://finance.people.com.cn/BIG5/n1/2025/1114/c1004-40603942.html</x:v>
      </x:c>
      <x:c r="E644" s="5" t="str">
        <x:v>finance.people.com.cn</x:v>
      </x:c>
      <x:c r="F644" s="5" t="str">
        <x:v>其他网页</x:v>
      </x:c>
      <x:c r="G644" s="5" t="str">
        <x:v>否</x:v>
      </x:c>
      <x:c r="H644" s="5" t="str">
        <x:v>Keep、康比特、诺特兰德、汤臣倍健、训练怪兽、迈胜、ffit8、健乐多</x:v>
      </x:c>
      <x:c r="I644" s="5" t="str">
        <x:v>自然</x:v>
      </x:c>
      <x:c r="J644" s="5" t="str">
        <x:v>未核实</x:v>
      </x:c>
    </x:row>
    <x:row r="645" ht="27" customHeight="1">
      <x:c r="A645" s="5" t="str">
        <x:v>元宝</x:v>
      </x:c>
      <x:c r="B645" s="5" t="str">
        <x:v>Q15</x:v>
      </x:c>
      <x:c r="C645" s="5" t="str">
        <x:v>汤臣倍健按分类筛选 BYHEALTH</x:v>
      </x:c>
      <x:c r="D645" s="5" t="str">
        <x:v>https://www.by-health.com/product-tag/?tag=%E8%9B%8B%E7%99%BD%E8%B4%A8&amp;v=1</x:v>
      </x:c>
      <x:c r="E645" s="5" t="str">
        <x:v>by-health.com</x:v>
      </x:c>
      <x:c r="F645" s="5" t="str">
        <x:v>其他网页</x:v>
      </x:c>
      <x:c r="G645" s="5" t="str">
        <x:v>否</x:v>
      </x:c>
      <x:c r="H645" s="5" t="str">
        <x:v>Keep、康比特、诺特兰德、汤臣倍健、训练怪兽、迈胜、ffit8、健乐多</x:v>
      </x:c>
      <x:c r="I645" s="5" t="str">
        <x:v>自然</x:v>
      </x:c>
      <x:c r="J645" s="5" t="str">
        <x:v>未核实</x:v>
      </x:c>
    </x:row>
    <x:row r="646" ht="27" customHeight="1">
      <x:c r="A646" s="5" t="str">
        <x:v>元宝</x:v>
      </x:c>
      <x:c r="B646" s="5" t="str">
        <x:v>Q15</x:v>
      </x:c>
      <x:c r="C646" s="5" t="str">
        <x:v>ffit8</x:v>
      </x:c>
      <x:c r="D646" s="5" t="str">
        <x:v>https://www.cnpp.cn/company/151288.html</x:v>
      </x:c>
      <x:c r="E646" s="5" t="str">
        <x:v>cnpp.cn</x:v>
      </x:c>
      <x:c r="F646" s="5" t="str">
        <x:v>其他网页</x:v>
      </x:c>
      <x:c r="G646" s="5" t="str">
        <x:v>否</x:v>
      </x:c>
      <x:c r="H646" s="5" t="str">
        <x:v>Keep、康比特、诺特兰德、汤臣倍健、训练怪兽、迈胜、ffit8、健乐多</x:v>
      </x:c>
      <x:c r="I646" s="5" t="str">
        <x:v>自然</x:v>
      </x:c>
      <x:c r="J646" s="5" t="str">
        <x:v>未核实</x:v>
      </x:c>
    </x:row>
    <x:row r="647" ht="27" customHeight="1">
      <x:c r="A647" s="5" t="str">
        <x:v>元宝</x:v>
      </x:c>
      <x:c r="B647" s="5" t="str">
        <x:v>Q15</x:v>
      </x:c>
      <x:c r="C647" s="5" t="str">
        <x:v>国产蛋白质粉什么品牌适合专业运动人群?通过反兴奋剂认证的推荐</x:v>
      </x:c>
      <x:c r="D647" s="5" t="str">
        <x:v>http://mp.weixin.qq.com/s?src=11&amp;timestamp=1790581146&amp;ver=6993&amp;signature=dn3jLIT0G8KjZVXYkoT8krDkYx5FWHBP-dlY9*FJnGZcoYzEdx-FiNBk6UyIestFq4N01kyo7WxJyz4bmyLy8ahGTZnjDHNV30--LuG4UkmHeC3sHNhDh3exIeW3GZjJ&amp;new=1</x:v>
      </x:c>
      <x:c r="E647" s="5" t="str">
        <x:v>mp.weixin.qq.com</x:v>
      </x:c>
      <x:c r="F647" s="5" t="str">
        <x:v>UGC/视频/公众号</x:v>
      </x:c>
      <x:c r="G647" s="5" t="str">
        <x:v>否</x:v>
      </x:c>
      <x:c r="H647" s="5" t="str">
        <x:v>Keep、康比特、诺特兰德、汤臣倍健、训练怪兽、迈胜、ffit8、健乐多</x:v>
      </x:c>
      <x:c r="I647" s="5" t="str">
        <x:v>自然</x:v>
      </x:c>
      <x:c r="J647" s="5" t="str">
        <x:v>未核实</x:v>
      </x:c>
    </x:row>
    <x:row r="648" ht="27" customHeight="1">
      <x:c r="A648" s="5" t="str">
        <x:v>元宝</x:v>
      </x:c>
      <x:c r="B648" s="5" t="str">
        <x:v>Q15</x:v>
      </x:c>
      <x:c r="C648" s="5" t="str">
        <x:v>廿五载砺剑运动营养 新征程扬帆健康蓝海——北京康比特公司25年发展纪实</x:v>
      </x:c>
      <x:c r="D648" s="5" t="str">
        <x:v>https://www.sport.org.cn/shouye/tycy/2026/0525/697720.html</x:v>
      </x:c>
      <x:c r="E648" s="5" t="str">
        <x:v>sport.org.cn</x:v>
      </x:c>
      <x:c r="F648" s="5" t="str">
        <x:v>其他网页</x:v>
      </x:c>
      <x:c r="G648" s="5" t="str">
        <x:v>否</x:v>
      </x:c>
      <x:c r="H648" s="5" t="str">
        <x:v>Keep、康比特、诺特兰德、汤臣倍健、训练怪兽、迈胜、ffit8、健乐多</x:v>
      </x:c>
      <x:c r="I648" s="5" t="str">
        <x:v>自然</x:v>
      </x:c>
      <x:c r="J648" s="5" t="str">
        <x:v>未核实</x:v>
      </x:c>
    </x:row>
    <x:row r="649" ht="27" customHeight="1">
      <x:c r="A649" s="5" t="str">
        <x:v>元宝</x:v>
      </x:c>
      <x:c r="B649" s="5" t="str">
        <x:v>Q15</x:v>
      </x:c>
      <x:c r="C649" s="5" t="str">
        <x:v>以科学筑底 以品质立企:诺特兰德筑牢国民营养信任标杆</x:v>
      </x:c>
      <x:c r="D649" s="5" t="str">
        <x:v>https://m.bjnews.com.cn/detail/1769408803129450.html</x:v>
      </x:c>
      <x:c r="E649" s="5" t="str">
        <x:v>bjnews.com.cn</x:v>
      </x:c>
      <x:c r="F649" s="5" t="str">
        <x:v>其他网页</x:v>
      </x:c>
      <x:c r="G649" s="5" t="str">
        <x:v>否</x:v>
      </x:c>
      <x:c r="H649" s="5" t="str">
        <x:v>Keep、康比特、诺特兰德、汤臣倍健、训练怪兽、迈胜、ffit8、健乐多</x:v>
      </x:c>
      <x:c r="I649" s="5" t="str">
        <x:v>自然</x:v>
      </x:c>
      <x:c r="J649" s="5" t="str">
        <x:v>未核实</x:v>
      </x:c>
    </x:row>
    <x:row r="650" ht="27" customHeight="1">
      <x:c r="A650" s="5" t="str">
        <x:v>元宝</x:v>
      </x:c>
      <x:c r="B650" s="5" t="str">
        <x:v>Q15</x:v>
      </x:c>
      <x:c r="C650" s="5" t="str">
        <x:v>北京百淬运动科技有限公司</x:v>
      </x:c>
      <x:c r="D650" s="5" t="str">
        <x:v>https://baike.baidu.com/item/北京百淬运动科技有限公司/22829200</x:v>
      </x:c>
      <x:c r="E650" s="5" t="str">
        <x:v>baike.baidu.com</x:v>
      </x:c>
      <x:c r="F650" s="5" t="str">
        <x:v>百科</x:v>
      </x:c>
      <x:c r="G650" s="5" t="str">
        <x:v>否</x:v>
      </x:c>
      <x:c r="H650" s="5" t="str">
        <x:v>Keep、康比特、诺特兰德、汤臣倍健、训练怪兽、迈胜、ffit8、健乐多</x:v>
      </x:c>
      <x:c r="I650" s="5" t="str">
        <x:v>自然</x:v>
      </x:c>
      <x:c r="J650" s="5" t="str">
        <x:v>未核实</x:v>
      </x:c>
    </x:row>
    <x:row r="651" ht="27" customHeight="1">
      <x:c r="A651" s="5" t="str">
        <x:v>元宝</x:v>
      </x:c>
      <x:c r="B651" s="5" t="str">
        <x:v>Q15</x:v>
      </x:c>
      <x:c r="C651" s="5" t="str">
        <x:v>迈胜完成近亿元A轮融资,产业资本聚力运动营养赛道</x:v>
      </x:c>
      <x:c r="D651" s="5" t="str">
        <x:v>https://www.toutiao.com/article/7688229377821311542/</x:v>
      </x:c>
      <x:c r="E651" s="5" t="str">
        <x:v>toutiao.com</x:v>
      </x:c>
      <x:c r="F651" s="5" t="str">
        <x:v>UGC/视频/公众号</x:v>
      </x:c>
      <x:c r="G651" s="5" t="str">
        <x:v>否</x:v>
      </x:c>
      <x:c r="H651" s="5" t="str">
        <x:v>Keep、康比特、诺特兰德、汤臣倍健、训练怪兽、迈胜、ffit8、健乐多</x:v>
      </x:c>
      <x:c r="I651" s="5" t="str">
        <x:v>自然</x:v>
      </x:c>
      <x:c r="J651" s="5" t="str">
        <x:v>未核实</x:v>
      </x:c>
    </x:row>
    <x:row r="652" ht="27" customHeight="1">
      <x:c r="A652" s="5" t="str">
        <x:v>元宝</x:v>
      </x:c>
      <x:c r="B652" s="5" t="str">
        <x:v>Q15</x:v>
      </x:c>
      <x:c r="C652" s="5" t="str">
        <x:v>冻干运动奶昔适合运动后喝吗,冻干运动奶昔用什么冲泡,口碑好的品牌推荐</x:v>
      </x:c>
      <x:c r="D652" s="5" t="str">
        <x:v>https://m.cnpinpai.cn/news_hot/3524175.html</x:v>
      </x:c>
      <x:c r="E652" s="5" t="str">
        <x:v>cnpinpai.cn</x:v>
      </x:c>
      <x:c r="F652" s="5" t="str">
        <x:v>其他网页</x:v>
      </x:c>
      <x:c r="G652" s="5" t="str">
        <x:v>否</x:v>
      </x:c>
      <x:c r="H652" s="5" t="str">
        <x:v>Keep、康比特、诺特兰德、汤臣倍健、训练怪兽、迈胜、ffit8、健乐多</x:v>
      </x:c>
      <x:c r="I652" s="5" t="str">
        <x:v>自然</x:v>
      </x:c>
      <x:c r="J652" s="5" t="str">
        <x:v>未核实</x:v>
      </x:c>
    </x:row>
    <x:row r="653" ht="27" customHeight="1">
      <x:c r="A653" s="5" t="str">
        <x:v>元宝</x:v>
      </x:c>
      <x:c r="B653" s="5" t="str">
        <x:v>Q15</x:v>
      </x:c>
      <x:c r="C653" s="5" t="str">
        <x:v>Keep保健食品自营官方旗舰店-优惠券PLUS</x:v>
      </x:c>
      <x:c r="D653" s="5" t="str">
        <x:v>https://www.yhqplus.com/202601010000000338.htm</x:v>
      </x:c>
      <x:c r="E653" s="5" t="str">
        <x:v>yhqplus.com</x:v>
      </x:c>
      <x:c r="F653" s="5" t="str">
        <x:v>其他网页</x:v>
      </x:c>
      <x:c r="G653" s="5" t="str">
        <x:v>否</x:v>
      </x:c>
      <x:c r="H653" s="5" t="str">
        <x:v>Keep、康比特、诺特兰德、汤臣倍健、训练怪兽、迈胜、ffit8、健乐多</x:v>
      </x:c>
      <x:c r="I653" s="5" t="str">
        <x:v>自然</x:v>
      </x:c>
      <x:c r="J653" s="5" t="str">
        <x:v>未核实</x:v>
      </x:c>
    </x:row>
    <x:row r="654" ht="27" customHeight="1">
      <x:c r="A654" s="5" t="str">
        <x:v>元宝</x:v>
      </x:c>
      <x:c r="B654" s="5" t="str">
        <x:v>Q15</x:v>
      </x:c>
      <x:c r="C654" s="5" t="str">
        <x:v>ffit8,品牌列表,上海碧桐文化发展有限公司</x:v>
      </x:c>
      <x:c r="D654" s="5" t="str">
        <x:v>https://bitong.cn/brands/brand_id/12835/name/.html</x:v>
      </x:c>
      <x:c r="E654" s="5" t="str">
        <x:v>bitong.cn</x:v>
      </x:c>
      <x:c r="F654" s="5" t="str">
        <x:v>其他网页</x:v>
      </x:c>
      <x:c r="G654" s="5" t="str">
        <x:v>否</x:v>
      </x:c>
      <x:c r="H654" s="5" t="str">
        <x:v>Keep、康比特、诺特兰德、汤臣倍健、训练怪兽、迈胜、ffit8、健乐多</x:v>
      </x:c>
      <x:c r="I654" s="5" t="str">
        <x:v>自然</x:v>
      </x:c>
      <x:c r="J654" s="5" t="str">
        <x:v>未核实</x:v>
      </x:c>
    </x:row>
    <x:row r="655" ht="27" customHeight="1">
      <x:c r="A655" s="5" t="str">
        <x:v>元宝</x:v>
      </x:c>
      <x:c r="B655" s="5" t="str">
        <x:v>Q15</x:v>
      </x:c>
      <x:c r="C655" s="5" t="str">
        <x:v>健身蛋白粉哪些品牌效果更好?看增肌数据､蛋白吸收､口感</x:v>
      </x:c>
      <x:c r="D655" s="5" t="str">
        <x:v>https://news.miaoshou.com/news/2obmWDb8PbwJ8zOP.html</x:v>
      </x:c>
      <x:c r="E655" s="5" t="str">
        <x:v>news.miaoshou.com</x:v>
      </x:c>
      <x:c r="F655" s="5" t="str">
        <x:v>其他网页</x:v>
      </x:c>
      <x:c r="G655" s="5" t="str">
        <x:v>否</x:v>
      </x:c>
      <x:c r="H655" s="5" t="str">
        <x:v>Keep、康比特、诺特兰德、汤臣倍健、训练怪兽、迈胜、ffit8、健乐多</x:v>
      </x:c>
      <x:c r="I655" s="5" t="str">
        <x:v>自然</x:v>
      </x:c>
      <x:c r="J655" s="5" t="str">
        <x:v>未核实</x:v>
      </x:c>
    </x:row>
    <x:row r="656" ht="27" customHeight="1">
      <x:c r="A656" s="5" t="str">
        <x:v>元宝</x:v>
      </x:c>
      <x:c r="B656" s="5" t="str">
        <x:v>Q15</x:v>
      </x:c>
      <x:c r="C656" s="5" t="str">
        <x:v>“25载与你同行”康比特25周年庆典在京启幕——以更高品质赋能用户 以创新之力开启运动营养新未来</x:v>
      </x:c>
      <x:c r="D656" s="5" t="str">
        <x:v>https://imgs.xinhuanet.com/food/20260519/13cc0a031b3e4c4da294bec2e226fe57/c.html</x:v>
      </x:c>
      <x:c r="E656" s="5" t="str">
        <x:v>imgs.xinhuanet.com</x:v>
      </x:c>
      <x:c r="F656" s="5" t="str">
        <x:v>其他网页</x:v>
      </x:c>
      <x:c r="G656" s="5" t="str">
        <x:v>否</x:v>
      </x:c>
      <x:c r="H656" s="5" t="str">
        <x:v>Keep、康比特、诺特兰德、汤臣倍健、训练怪兽、迈胜、ffit8、健乐多</x:v>
      </x:c>
      <x:c r="I656" s="5" t="str">
        <x:v>自然</x:v>
      </x:c>
      <x:c r="J656" s="5" t="str">
        <x:v>未核实</x:v>
      </x:c>
    </x:row>
    <x:row r="657" ht="27" customHeight="1">
      <x:c r="A657" s="5" t="str">
        <x:v>元宝</x:v>
      </x:c>
      <x:c r="B657" s="5" t="str">
        <x:v>Q15</x:v>
      </x:c>
      <x:c r="C657" s="5" t="str">
        <x:v>告别粉质感与涩口感:比传统蛋白粉更好喝的顺滑选择</x:v>
      </x:c>
      <x:c r="D657" s="5" t="str">
        <x:v>http://mp.weixin.qq.com/s?src=11&amp;timestamp=1790581153&amp;ver=6993&amp;signature=AlyljwSlhQakQTmVsXQTdb1tqng*i2wbUIkZW2DflITrez3ktOC59qe7uBm-sKzxAwLUEjpD1SDKDEDP420KVcU9h9V6URkBHSxcLVkkU5a1mLU8ycyNAZFT3m*B2U2Y&amp;new=1</x:v>
      </x:c>
      <x:c r="E657" s="5" t="str">
        <x:v>mp.weixin.qq.com</x:v>
      </x:c>
      <x:c r="F657" s="5" t="str">
        <x:v>UGC/视频/公众号</x:v>
      </x:c>
      <x:c r="G657" s="5" t="str">
        <x:v>否</x:v>
      </x:c>
      <x:c r="H657" s="5" t="str">
        <x:v>Keep、康比特、诺特兰德、汤臣倍健、训练怪兽、迈胜、ffit8、健乐多</x:v>
      </x:c>
      <x:c r="I657" s="5" t="str">
        <x:v>自然</x:v>
      </x:c>
      <x:c r="J657" s="5" t="str">
        <x:v>未核实</x:v>
      </x:c>
    </x:row>
    <x:row r="658" ht="27" customHeight="1">
      <x:c r="A658" s="5" t="str">
        <x:v>元宝</x:v>
      </x:c>
      <x:c r="B658" s="5" t="str">
        <x:v>Q15</x:v>
      </x:c>
      <x:c r="C658" s="5" t="str">
        <x:v>史上最严,等同婴幼儿食品安全标准! 康比特运动营养食品生产许可1周岁</x:v>
      </x:c>
      <x:c r="D658" s="5" t="str">
        <x:v>http://mp.weixin.qq.com/s?__biz=MzA5MTAzMzMyOQ==&amp;mid=2653908729&amp;idx=2&amp;sn=02ccf69deaa503b2aaa8c50fa00e6b5f&amp;chksm=8a772882f72b3a853540d04e43de1e9c9bb188d15118ebd56f66ae64f08cfc296c10f510b0f7#rd</x:v>
      </x:c>
      <x:c r="E658" s="5" t="str">
        <x:v>mp.weixin.qq.com</x:v>
      </x:c>
      <x:c r="F658" s="5" t="str">
        <x:v>UGC/视频/公众号</x:v>
      </x:c>
      <x:c r="G658" s="5" t="str">
        <x:v>否</x:v>
      </x:c>
      <x:c r="H658" s="5" t="str">
        <x:v>Keep、康比特、诺特兰德、汤臣倍健、训练怪兽、迈胜、ffit8、健乐多</x:v>
      </x:c>
      <x:c r="I658" s="5" t="str">
        <x:v>自然</x:v>
      </x:c>
      <x:c r="J658" s="5" t="str">
        <x:v>未核实</x:v>
      </x:c>
    </x:row>
    <x:row r="659" ht="27" customHeight="1">
      <x:c r="A659" s="5" t="str">
        <x:v>元宝</x:v>
      </x:c>
      <x:c r="B659" s="5" t="str">
        <x:v>Q15</x:v>
      </x:c>
      <x:c r="C659" s="5" t="str">
        <x:v>迈胜医疗小型化质子治疗系统与肿瘤精准放疗解决方案</x:v>
      </x:c>
      <x:c r="D659" s="5" t="str">
        <x:v>http://www.mevionchina.com/</x:v>
      </x:c>
      <x:c r="E659" s="5" t="str">
        <x:v>mevionchina.com</x:v>
      </x:c>
      <x:c r="F659" s="5" t="str">
        <x:v>综合媒体/转载</x:v>
      </x:c>
      <x:c r="G659" s="5" t="str">
        <x:v>否</x:v>
      </x:c>
      <x:c r="H659" s="5" t="str">
        <x:v>Keep、康比特、诺特兰德、汤臣倍健、训练怪兽、迈胜、ffit8、健乐多</x:v>
      </x:c>
      <x:c r="I659" s="5" t="str">
        <x:v>自然</x:v>
      </x:c>
      <x:c r="J659" s="5" t="str">
        <x:v>未核实</x:v>
      </x:c>
    </x:row>
    <x:row r="660" ht="27" customHeight="1">
      <x:c r="A660" s="5" t="str">
        <x:v>元宝</x:v>
      </x:c>
      <x:c r="B660" s="5" t="str">
        <x:v>Q15</x:v>
      </x:c>
      <x:c r="C660" s="5" t="str">
        <x:v>济南斯伯特商贸有限公司</x:v>
      </x:c>
      <x:c r="D660" s="5" t="str">
        <x:v>https://baike.baidu.com/item/%E6%B5%8E%E5%8D%97%E6%96%AF%E4%BC%AF%E7%89%B9%E5%95%86%E8%B4%B8%E6%9C%89%E9%99%90%E5%85%AC%E5%8F%B8/23441812</x:v>
      </x:c>
      <x:c r="E660" s="5" t="str">
        <x:v>baike.baidu.com</x:v>
      </x:c>
      <x:c r="F660" s="5" t="str">
        <x:v>百科</x:v>
      </x:c>
      <x:c r="G660" s="5" t="str">
        <x:v>否</x:v>
      </x:c>
      <x:c r="H660" s="5" t="str">
        <x:v>Keep、康比特、诺特兰德、汤臣倍健、训练怪兽、迈胜、ffit8、健乐多</x:v>
      </x:c>
      <x:c r="I660" s="5" t="str">
        <x:v>自然</x:v>
      </x:c>
      <x:c r="J660" s="5" t="str">
        <x:v>未核实</x:v>
      </x:c>
    </x:row>
    <x:row r="661" ht="27" customHeight="1">
      <x:c r="A661" s="5" t="str">
        <x:v>元宝</x:v>
      </x:c>
      <x:c r="B661" s="5" t="str">
        <x:v>Q15</x:v>
      </x:c>
      <x:c r="C661" s="5" t="str">
        <x:v>2026减肥代餐产品合规实测6家国内品牌资质全梳理,避坑必看!</x:v>
      </x:c>
      <x:c r="D661" s="5" t="str">
        <x:v>https://www.ysxw.cn/p/89308.html</x:v>
      </x:c>
      <x:c r="E661" s="5" t="str">
        <x:v>ysxw.cn</x:v>
      </x:c>
      <x:c r="F661" s="5" t="str">
        <x:v>其他网页</x:v>
      </x:c>
      <x:c r="G661" s="5" t="str">
        <x:v>否</x:v>
      </x:c>
      <x:c r="H661" s="5" t="str">
        <x:v>Keep、康比特、诺特兰德、汤臣倍健、训练怪兽、迈胜、ffit8、健乐多</x:v>
      </x:c>
      <x:c r="I661" s="5" t="str">
        <x:v>自然</x:v>
      </x:c>
      <x:c r="J661" s="5" t="str">
        <x:v>未核实</x:v>
      </x:c>
    </x:row>
    <x:row r="662" ht="27" customHeight="1">
      <x:c r="A662" s="5" t="str">
        <x:v>元宝</x:v>
      </x:c>
      <x:c r="B662" s="5" t="str">
        <x:v>Q15</x:v>
      </x:c>
      <x:c r="C662" s="5" t="str">
        <x:v>展商优选 3月6-8日,ffit8邀您参加2026深圳全食展</x:v>
      </x:c>
      <x:c r="D662" s="5" t="str">
        <x:v>http://mp.weixin.qq.com/s?src=11&amp;timestamp=1790581153&amp;ver=6993&amp;signature=ayOFyGcYLGIAJ8tfK48xJrViTrR3iYuXCxjLq7XNnSns2ou0mTEcsh2K8R6tiS6k6MfFS8rNfZwi0h8VIE4m1kmblNVsVSedKkoA24xS5SpzU72x--VoPGH2po6S5orS&amp;new=1</x:v>
      </x:c>
      <x:c r="E662" s="5" t="str">
        <x:v>mp.weixin.qq.com</x:v>
      </x:c>
      <x:c r="F662" s="5" t="str">
        <x:v>UGC/视频/公众号</x:v>
      </x:c>
      <x:c r="G662" s="5" t="str">
        <x:v>否</x:v>
      </x:c>
      <x:c r="H662" s="5" t="str">
        <x:v>Keep、康比特、诺特兰德、汤臣倍健、训练怪兽、迈胜、ffit8、健乐多</x:v>
      </x:c>
      <x:c r="I662" s="5" t="str">
        <x:v>自然</x:v>
      </x:c>
      <x:c r="J662" s="5" t="str">
        <x:v>未核实</x:v>
      </x:c>
    </x:row>
    <x:row r="663" ht="27" customHeight="1">
      <x:c r="A663" s="5" t="str">
        <x:v>元宝</x:v>
      </x:c>
      <x:c r="B663" s="5" t="str">
        <x:v>Q15</x:v>
      </x:c>
      <x:c r="C663" s="5" t="str">
        <x:v>蛋白粉热门品牌盘点 2026年健身控卡期蛋白粉参考清单</x:v>
      </x:c>
      <x:c r="D663" s="5" t="str">
        <x:v>http://share-plus.huaihai.tv/folder7147/folder7611/2026-06-05/zepDjpjjYpJfaUNm.html</x:v>
      </x:c>
      <x:c r="E663" s="5" t="str">
        <x:v>share-plus.huaihai.tv</x:v>
      </x:c>
      <x:c r="F663" s="5" t="str">
        <x:v>其他网页</x:v>
      </x:c>
      <x:c r="G663" s="5" t="str">
        <x:v>否</x:v>
      </x:c>
      <x:c r="H663" s="5" t="str">
        <x:v>Keep、康比特、诺特兰德、汤臣倍健、训练怪兽、迈胜、ffit8、健乐多</x:v>
      </x:c>
      <x:c r="I663" s="5" t="str">
        <x:v>自然</x:v>
      </x:c>
      <x:c r="J663" s="5" t="str">
        <x:v>未核实</x:v>
      </x:c>
    </x:row>
    <x:row r="664" ht="27" customHeight="1">
      <x:c r="A664" s="5" t="str">
        <x:v>元宝</x:v>
      </x:c>
      <x:c r="B664" s="5" t="str">
        <x:v>Q15</x:v>
      </x:c>
      <x:c r="C664" s="5" t="str">
        <x:v>只想买的新手挑蛋白粉,乳清蛋白粉怎么选?先看纯度,再看检测和配料</x:v>
      </x:c>
      <x:c r="D664" s="5" t="str">
        <x:v>https://www.yszyapp.cn/p/122058.html</x:v>
      </x:c>
      <x:c r="E664" s="5" t="str">
        <x:v>yszyapp.cn</x:v>
      </x:c>
      <x:c r="F664" s="5" t="str">
        <x:v>其他网页</x:v>
      </x:c>
      <x:c r="G664" s="5" t="str">
        <x:v>否</x:v>
      </x:c>
      <x:c r="H664" s="5" t="str">
        <x:v>Keep、康比特、诺特兰德、汤臣倍健、训练怪兽、迈胜、ffit8、健乐多</x:v>
      </x:c>
      <x:c r="I664" s="5" t="str">
        <x:v>自然</x:v>
      </x:c>
      <x:c r="J664" s="5" t="str">
        <x:v>未核实</x:v>
      </x:c>
    </x:row>
    <x:row r="665" ht="27" customHeight="1">
      <x:c r="A665" s="5" t="str">
        <x:v>元宝</x:v>
      </x:c>
      <x:c r="B665" s="5" t="str">
        <x:v>Q15</x:v>
      </x:c>
      <x:c r="C665" s="5" t="str">
        <x:v>康比特发布运动营养食品首款SC生产许可产品</x:v>
      </x:c>
      <x:c r="D665" s="5" t="str">
        <x:v>https://www.toutiao.com/article/6463421929926689038/</x:v>
      </x:c>
      <x:c r="E665" s="5" t="str">
        <x:v>toutiao.com</x:v>
      </x:c>
      <x:c r="F665" s="5" t="str">
        <x:v>UGC/视频/公众号</x:v>
      </x:c>
      <x:c r="G665" s="5" t="str">
        <x:v>否</x:v>
      </x:c>
      <x:c r="H665" s="5" t="str">
        <x:v>Keep、康比特、诺特兰德、汤臣倍健、训练怪兽、迈胜、ffit8、健乐多</x:v>
      </x:c>
      <x:c r="I665" s="5" t="str">
        <x:v>自然</x:v>
      </x:c>
      <x:c r="J665" s="5" t="str">
        <x:v>未核实</x:v>
      </x:c>
    </x:row>
    <x:row r="666" ht="27" customHeight="1">
      <x:c r="A666" s="5" t="str">
        <x:v>元宝</x:v>
      </x:c>
      <x:c r="B666" s="5" t="str">
        <x:v>Q15</x:v>
      </x:c>
      <x:c r="C666" s="5" t="str">
        <x:v>蒙牛迈胜益生菌乳清蛋白粉</x:v>
      </x:c>
      <x:c r="D666" s="5" t="str">
        <x:v>http://mp.weixin.qq.com/s?__biz=MjM5MjIxODA3OQ==&amp;mid=2247548409&amp;idx=5&amp;sn=df99dcca30448878e98a65bf42609e85&amp;chksm=a74ee6c63d2a865aa4f473817df909e596af1f7e631097835416549ce9451bd8e083171e75aa#rd</x:v>
      </x:c>
      <x:c r="E666" s="5" t="str">
        <x:v>mp.weixin.qq.com</x:v>
      </x:c>
      <x:c r="F666" s="5" t="str">
        <x:v>UGC/视频/公众号</x:v>
      </x:c>
      <x:c r="G666" s="5" t="str">
        <x:v>否</x:v>
      </x:c>
      <x:c r="H666" s="5" t="str">
        <x:v>Keep、康比特、诺特兰德、汤臣倍健、训练怪兽、迈胜、ffit8、健乐多</x:v>
      </x:c>
      <x:c r="I666" s="5" t="str">
        <x:v>自然</x:v>
      </x:c>
      <x:c r="J666" s="5" t="str">
        <x:v>未核实</x:v>
      </x:c>
    </x:row>
    <x:row r="667" ht="27" customHeight="1">
      <x:c r="A667" s="5" t="str">
        <x:v>元宝</x:v>
      </x:c>
      <x:c r="B667" s="5" t="str">
        <x:v>Q15</x:v>
      </x:c>
      <x:c r="C667" s="5" t="str">
        <x:v>百淬</x:v>
      </x:c>
      <x:c r="D667" s="5" t="str">
        <x:v>https://baike.baidu.com/item/%E7%99%BE%E6%B7%AC/22726509</x:v>
      </x:c>
      <x:c r="E667" s="5" t="str">
        <x:v>baike.baidu.com</x:v>
      </x:c>
      <x:c r="F667" s="5" t="str">
        <x:v>百科</x:v>
      </x:c>
      <x:c r="G667" s="5" t="str">
        <x:v>否</x:v>
      </x:c>
      <x:c r="H667" s="5" t="str">
        <x:v>Keep、康比特、诺特兰德、汤臣倍健、训练怪兽、迈胜、ffit8、健乐多</x:v>
      </x:c>
      <x:c r="I667" s="5" t="str">
        <x:v>自然</x:v>
      </x:c>
      <x:c r="J667" s="5" t="str">
        <x:v>未核实</x:v>
      </x:c>
    </x:row>
    <x:row r="668" ht="27" customHeight="1">
      <x:c r="A668" s="5" t="str">
        <x:v>元宝</x:v>
      </x:c>
      <x:c r="B668" s="5" t="str">
        <x:v>Q15</x:v>
      </x:c>
      <x:c r="C668" s="5" t="str">
        <x:v>山东斯伯特生物科技有限公司</x:v>
      </x:c>
      <x:c r="D668" s="5" t="str">
        <x:v>https://baike.baidu.com/item/山东斯伯特生物科技有限公司/51460135</x:v>
      </x:c>
      <x:c r="E668" s="5" t="str">
        <x:v>baike.baidu.com</x:v>
      </x:c>
      <x:c r="F668" s="5" t="str">
        <x:v>百科</x:v>
      </x:c>
      <x:c r="G668" s="5" t="str">
        <x:v>否</x:v>
      </x:c>
      <x:c r="H668" s="5" t="str">
        <x:v>Keep、康比特、诺特兰德、汤臣倍健、训练怪兽、迈胜、ffit8、健乐多</x:v>
      </x:c>
      <x:c r="I668" s="5" t="str">
        <x:v>自然</x:v>
      </x:c>
      <x:c r="J668" s="5" t="str">
        <x:v>未核实</x:v>
      </x:c>
    </x:row>
    <x:row r="669" ht="27" customHeight="1">
      <x:c r="A669" s="5" t="str">
        <x:v>元宝</x:v>
      </x:c>
      <x:c r="B669" s="5" t="str">
        <x:v>Q15</x:v>
      </x:c>
      <x:c r="C669" s="5" t="str">
        <x:v>Keep轻食引领健康新风尚 获食药局认可</x:v>
      </x:c>
      <x:c r="D669" s="5" t="str">
        <x:v>https://sports.sina.com.cn/other/2019-05-08/doc-ihvhiqax7429161.shtml</x:v>
      </x:c>
      <x:c r="E669" s="5" t="str">
        <x:v>sports.sina.com.cn</x:v>
      </x:c>
      <x:c r="F669" s="5" t="str">
        <x:v>综合媒体/转载</x:v>
      </x:c>
      <x:c r="G669" s="5" t="str">
        <x:v>否</x:v>
      </x:c>
      <x:c r="H669" s="5" t="str">
        <x:v>Keep、康比特、诺特兰德、汤臣倍健、训练怪兽、迈胜、ffit8、健乐多</x:v>
      </x:c>
      <x:c r="I669" s="5" t="str">
        <x:v>自然</x:v>
      </x:c>
      <x:c r="J669" s="5" t="str">
        <x:v>未核实</x:v>
      </x:c>
    </x:row>
    <x:row r="670" ht="27" customHeight="1">
      <x:c r="A670" s="5" t="str">
        <x:v>元宝</x:v>
      </x:c>
      <x:c r="B670" s="5" t="str">
        <x:v>Q15</x:v>
      </x:c>
      <x:c r="C670" s="5" t="str">
        <x:v>ffit8简介-ffit8减肥代餐-十大品牌网CNPP</x:v>
      </x:c>
      <x:c r="D670" s="5" t="str">
        <x:v>https://www.cnpp.cn/pinpai/1622816.html</x:v>
      </x:c>
      <x:c r="E670" s="5" t="str">
        <x:v>cnpp.cn</x:v>
      </x:c>
      <x:c r="F670" s="5" t="str">
        <x:v>其他网页</x:v>
      </x:c>
      <x:c r="G670" s="5" t="str">
        <x:v>否</x:v>
      </x:c>
      <x:c r="H670" s="5" t="str">
        <x:v>Keep、康比特、诺特兰德、汤臣倍健、训练怪兽、迈胜、ffit8、健乐多</x:v>
      </x:c>
      <x:c r="I670" s="5" t="str">
        <x:v>自然</x:v>
      </x:c>
      <x:c r="J670" s="5" t="str">
        <x:v>未核实</x:v>
      </x:c>
    </x:row>
    <x:row r="671" ht="27" customHeight="1">
      <x:c r="A671" s="5" t="str">
        <x:v>元宝</x:v>
      </x:c>
      <x:c r="B671" s="5" t="str">
        <x:v>Q16</x:v>
      </x:c>
      <x:c r="C671" s="5" t="str">
        <x:v>健身吃什么蛋白粉好</x:v>
      </x:c>
      <x:c r="D671" s="5" t="str">
        <x:v>https://www.pingguolv.com/ask/HnFK77IKHI77.html</x:v>
      </x:c>
      <x:c r="E671" s="5" t="str">
        <x:v>pingguolv.com</x:v>
      </x:c>
      <x:c r="F671" s="5" t="str">
        <x:v>其他网页</x:v>
      </x:c>
      <x:c r="G671" s="5" t="str">
        <x:v>否</x:v>
      </x:c>
      <x:c r="H671" s="5" t="str"/>
      <x:c r="I671" s="5" t="str">
        <x:v>自然</x:v>
      </x:c>
      <x:c r="J671" s="5" t="str">
        <x:v>未核实</x:v>
      </x:c>
    </x:row>
    <x:row r="672" ht="27" customHeight="1">
      <x:c r="A672" s="5" t="str">
        <x:v>元宝</x:v>
      </x:c>
      <x:c r="B672" s="5" t="str">
        <x:v>Q16</x:v>
      </x:c>
      <x:c r="C672" s="5" t="str">
        <x:v>食以安为先,养以衡为要——《中国居民膳食指南(2024)》深度科普解读</x:v>
      </x:c>
      <x:c r="D672" s="5" t="str">
        <x:v>https://cloud.kepuchina.cn/h5/detail?id=7420965472208089088</x:v>
      </x:c>
      <x:c r="E672" s="5" t="str">
        <x:v>cloud.kepuchina.cn</x:v>
      </x:c>
      <x:c r="F672" s="5" t="str">
        <x:v>其他网页</x:v>
      </x:c>
      <x:c r="G672" s="5" t="str">
        <x:v>否</x:v>
      </x:c>
      <x:c r="H672" s="5" t="str"/>
      <x:c r="I672" s="5" t="str">
        <x:v>自然</x:v>
      </x:c>
      <x:c r="J672" s="5" t="str">
        <x:v>未核实</x:v>
      </x:c>
    </x:row>
    <x:row r="673" ht="27" customHeight="1">
      <x:c r="A673" s="5" t="str">
        <x:v>元宝</x:v>
      </x:c>
      <x:c r="B673" s="5" t="str">
        <x:v>Q16</x:v>
      </x:c>
      <x:c r="C673" s="5" t="str">
        <x:v>亮氨酸阈值:为什么每餐2.5-3克才是增肌的关键</x:v>
      </x:c>
      <x:c r="D673" s="5" t="str">
        <x:v>https://www.aihavit.com/blog/zh/leucine-threshold-per-meal-muscle-protein-synthesis-2026</x:v>
      </x:c>
      <x:c r="E673" s="5" t="str">
        <x:v>aihavit.com</x:v>
      </x:c>
      <x:c r="F673" s="5" t="str">
        <x:v>其他网页</x:v>
      </x:c>
      <x:c r="G673" s="5" t="str">
        <x:v>否</x:v>
      </x:c>
      <x:c r="H673" s="5" t="str"/>
      <x:c r="I673" s="5" t="str">
        <x:v>自然</x:v>
      </x:c>
      <x:c r="J673" s="5" t="str">
        <x:v>未核实</x:v>
      </x:c>
    </x:row>
    <x:row r="674" ht="27" customHeight="1">
      <x:c r="A674" s="5" t="str">
        <x:v>元宝</x:v>
      </x:c>
      <x:c r="B674" s="5" t="str">
        <x:v>Q16</x:v>
      </x:c>
      <x:c r="C674" s="5" t="str">
        <x:v>你喝的高蛋白真的有吸收?營養師 1 分鐘挑選指南:成分､體質､預算</x:v>
      </x:c>
      <x:c r="D674" s="5" t="str">
        <x:v>https://dailydietitian.com.tw/?p=5994/</x:v>
      </x:c>
      <x:c r="E674" s="5" t="str">
        <x:v>dailydietitian.com.tw</x:v>
      </x:c>
      <x:c r="F674" s="5" t="str">
        <x:v>其他网页</x:v>
      </x:c>
      <x:c r="G674" s="5" t="str">
        <x:v>否</x:v>
      </x:c>
      <x:c r="H674" s="5" t="str"/>
      <x:c r="I674" s="5" t="str">
        <x:v>自然</x:v>
      </x:c>
      <x:c r="J674" s="5" t="str">
        <x:v>未核实</x:v>
      </x:c>
    </x:row>
    <x:row r="675" ht="27" customHeight="1">
      <x:c r="A675" s="5" t="str">
        <x:v>元宝</x:v>
      </x:c>
      <x:c r="B675" s="5" t="str">
        <x:v>Q16</x:v>
      </x:c>
      <x:c r="C675" s="5" t="str">
        <x:v>中国居民平衡膳食宝塔(2022)修订和解析</x:v>
      </x:c>
      <x:c r="D675" s="5" t="str">
        <x:v>https://dg.cnsoc.org/article/04/RMAbPdrjQ6CGWTwmo62hQg.html</x:v>
      </x:c>
      <x:c r="E675" s="5" t="str">
        <x:v>dg.cnsoc.org</x:v>
      </x:c>
      <x:c r="F675" s="5" t="str">
        <x:v>其他网页</x:v>
      </x:c>
      <x:c r="G675" s="5" t="str">
        <x:v>否</x:v>
      </x:c>
      <x:c r="H675" s="5" t="str"/>
      <x:c r="I675" s="5" t="str">
        <x:v>自然</x:v>
      </x:c>
      <x:c r="J675" s="5" t="str">
        <x:v>未核实</x:v>
      </x:c>
    </x:row>
    <x:row r="676" ht="27" customHeight="1">
      <x:c r="A676" s="5" t="str">
        <x:v>元宝</x:v>
      </x:c>
      <x:c r="B676" s="5" t="str">
        <x:v>Q16</x:v>
      </x:c>
      <x:c r="C676" s="5" t="str">
        <x:v>国际运动营养学会立场声明:蛋白质与运动</x:v>
      </x:c>
      <x:c r="D676" s="5" t="str">
        <x:v>http://mp.weixin.qq.com/s?__biz=MzU2MDcyMTcxOA==&amp;mid=2247487508&amp;idx=1&amp;sn=69a7a42a1831123f176cb6a742e55b19&amp;chksm=fd342c27c9c666256e9812272f032c6ba6362010c565f7265c512db2091c9c40e9e11df16e7b#rd</x:v>
      </x:c>
      <x:c r="E676" s="5" t="str">
        <x:v>mp.weixin.qq.com</x:v>
      </x:c>
      <x:c r="F676" s="5" t="str">
        <x:v>UGC/视频/公众号</x:v>
      </x:c>
      <x:c r="G676" s="5" t="str">
        <x:v>否</x:v>
      </x:c>
      <x:c r="H676" s="5" t="str"/>
      <x:c r="I676" s="5" t="str">
        <x:v>自然</x:v>
      </x:c>
      <x:c r="J676" s="5" t="str">
        <x:v>未核实</x:v>
      </x:c>
    </x:row>
    <x:row r="677" ht="27" customHeight="1">
      <x:c r="A677" s="5" t="str">
        <x:v>元宝</x:v>
      </x:c>
      <x:c r="B677" s="5" t="str">
        <x:v>Q16</x:v>
      </x:c>
      <x:c r="C677" s="5" t="str">
        <x:v>100克蛋白质的食物样本:完整的饮食计划 Nutrola</x:v>
      </x:c>
      <x:c r="D677" s="5" t="str">
        <x:v>https://nutrola.app/zh/blog/what-does-100-grams-of-protein-look-like</x:v>
      </x:c>
      <x:c r="E677" s="5" t="str">
        <x:v>nutrola.app</x:v>
      </x:c>
      <x:c r="F677" s="5" t="str">
        <x:v>其他网页</x:v>
      </x:c>
      <x:c r="G677" s="5" t="str">
        <x:v>否</x:v>
      </x:c>
      <x:c r="H677" s="5" t="str"/>
      <x:c r="I677" s="5" t="str">
        <x:v>自然</x:v>
      </x:c>
      <x:c r="J677" s="5" t="str">
        <x:v>未核实</x:v>
      </x:c>
    </x:row>
    <x:row r="678" ht="27" customHeight="1">
      <x:c r="A678" s="5" t="str">
        <x:v>元宝</x:v>
      </x:c>
      <x:c r="B678" s="5" t="str">
        <x:v>Q16</x:v>
      </x:c>
      <x:c r="C678" s="5" t="str">
        <x:v>健身吃哪种蛋白质</x:v>
      </x:c>
      <x:c r="D678" s="5" t="str">
        <x:v>https://m.bohe.cn/zx/1584048.html</x:v>
      </x:c>
      <x:c r="E678" s="5" t="str">
        <x:v>bohe.cn</x:v>
      </x:c>
      <x:c r="F678" s="5" t="str">
        <x:v>其他网页</x:v>
      </x:c>
      <x:c r="G678" s="5" t="str">
        <x:v>否</x:v>
      </x:c>
      <x:c r="H678" s="5" t="str"/>
      <x:c r="I678" s="5" t="str">
        <x:v>自然</x:v>
      </x:c>
      <x:c r="J678" s="5" t="str">
        <x:v>未核实</x:v>
      </x:c>
    </x:row>
    <x:row r="679" ht="27" customHeight="1">
      <x:c r="A679" s="5" t="str">
        <x:v>元宝</x:v>
      </x:c>
      <x:c r="B679" s="5" t="str">
        <x:v>Q16</x:v>
      </x:c>
      <x:c r="C679" s="5" t="str">
        <x:v>学会科学摄入蛋白质</x:v>
      </x:c>
      <x:c r="D679" s="5" t="str">
        <x:v>https://epaper.lnzx.gov.cn/paper/pc/content/202608/28/content_9891.html</x:v>
      </x:c>
      <x:c r="E679" s="5" t="str">
        <x:v>epaper.lnzx.gov.cn</x:v>
      </x:c>
      <x:c r="F679" s="5" t="str">
        <x:v>官方机构</x:v>
      </x:c>
      <x:c r="G679" s="5" t="str">
        <x:v>否</x:v>
      </x:c>
      <x:c r="H679" s="5" t="str"/>
      <x:c r="I679" s="5" t="str">
        <x:v>自然</x:v>
      </x:c>
      <x:c r="J679" s="5" t="str">
        <x:v>未核实</x:v>
      </x:c>
    </x:row>
    <x:row r="680" ht="27" customHeight="1">
      <x:c r="A680" s="5" t="str">
        <x:v>元宝</x:v>
      </x:c>
      <x:c r="B680" s="5" t="str">
        <x:v>Q16</x:v>
      </x:c>
      <x:c r="C680" s="5" t="str">
        <x:v>Effects of Pork Protein Ingestion Prior to and Following Performing the Army Combat Fitness Test on Markers of Catabolism, Inflammation, and Recovery</x:v>
      </x:c>
      <x:c r="D680" s="5" t="str">
        <x:v>https://pmc.ncbi.nlm.nih.gov/articles/PMC12195741</x:v>
      </x:c>
      <x:c r="E680" s="5" t="str">
        <x:v>pmc.ncbi.nlm.nih.gov</x:v>
      </x:c>
      <x:c r="F680" s="5" t="str">
        <x:v>学术研究</x:v>
      </x:c>
      <x:c r="G680" s="5" t="str">
        <x:v>否</x:v>
      </x:c>
      <x:c r="H680" s="5" t="str"/>
      <x:c r="I680" s="5" t="str">
        <x:v>自然</x:v>
      </x:c>
      <x:c r="J680" s="5" t="str">
        <x:v>未核实</x:v>
      </x:c>
    </x:row>
    <x:row r="681" ht="27" customHeight="1">
      <x:c r="A681" s="5" t="str">
        <x:v>元宝</x:v>
      </x:c>
      <x:c r="B681" s="5" t="str">
        <x:v>Q16</x:v>
      </x:c>
      <x:c r="C681" s="5" t="str">
        <x:v>普通人每天要摄入多少蛋白质?</x:v>
      </x:c>
      <x:c r="D681" s="5" t="str">
        <x:v>http://mp.weixin.qq.com/s?src=11&amp;timestamp=1790581186&amp;ver=6993&amp;signature=ApxitQWyH*Ujrq-kRIoXlOmHS7Hs5qBeJS0oeVoau9Sjr4Njuz-GWfEFfYb*i6gnSuAk0lGgRmwANdlJVI7Mrtq7XHL0vgjxo6FH-DqSKjQiM-yZ3y0rL1i6jDLDmOox&amp;new=1</x:v>
      </x:c>
      <x:c r="E681" s="5" t="str">
        <x:v>mp.weixin.qq.com</x:v>
      </x:c>
      <x:c r="F681" s="5" t="str">
        <x:v>UGC/视频/公众号</x:v>
      </x:c>
      <x:c r="G681" s="5" t="str">
        <x:v>否</x:v>
      </x:c>
      <x:c r="H681" s="5" t="str"/>
      <x:c r="I681" s="5" t="str">
        <x:v>自然</x:v>
      </x:c>
      <x:c r="J681" s="5" t="str">
        <x:v>未核实</x:v>
      </x:c>
    </x:row>
    <x:row r="682" ht="27" customHeight="1">
      <x:c r="A682" s="5" t="str">
        <x:v>元宝</x:v>
      </x:c>
      <x:c r="B682" s="5" t="str">
        <x:v>Q16</x:v>
      </x:c>
      <x:c r="C682" s="5" t="str">
        <x:v>健身吃什么蛋白粉</x:v>
      </x:c>
      <x:c r="D682" s="5" t="str">
        <x:v>https://www.pingguolv.com/ask/b613DD1PRDy0.html</x:v>
      </x:c>
      <x:c r="E682" s="5" t="str">
        <x:v>pingguolv.com</x:v>
      </x:c>
      <x:c r="F682" s="5" t="str">
        <x:v>其他网页</x:v>
      </x:c>
      <x:c r="G682" s="5" t="str">
        <x:v>否</x:v>
      </x:c>
      <x:c r="H682" s="5" t="str"/>
      <x:c r="I682" s="5" t="str">
        <x:v>自然</x:v>
      </x:c>
      <x:c r="J682" s="5" t="str">
        <x:v>未核实</x:v>
      </x:c>
    </x:row>
    <x:row r="683" ht="27" customHeight="1">
      <x:c r="A683" s="5" t="str">
        <x:v>元宝</x:v>
      </x:c>
      <x:c r="B683" s="5" t="str">
        <x:v>Q16</x:v>
      </x:c>
      <x:c r="C683" s="5" t="str">
        <x:v>担心“吃肉长肉”会让身体缺少它</x:v>
      </x:c>
      <x:c r="D683" s="5" t="str">
        <x:v>https://sxwjw.shaanxi.gov.cn/ywgz/gbbj/t_3454135.html</x:v>
      </x:c>
      <x:c r="E683" s="5" t="str">
        <x:v>sxwjw.shaanxi.gov.cn</x:v>
      </x:c>
      <x:c r="F683" s="5" t="str">
        <x:v>官方机构</x:v>
      </x:c>
      <x:c r="G683" s="5" t="str">
        <x:v>否</x:v>
      </x:c>
      <x:c r="H683" s="5" t="str"/>
      <x:c r="I683" s="5" t="str">
        <x:v>自然</x:v>
      </x:c>
      <x:c r="J683" s="5" t="str">
        <x:v>未核实</x:v>
      </x:c>
    </x:row>
    <x:row r="684" ht="27" customHeight="1">
      <x:c r="A684" s="5" t="str">
        <x:v>元宝</x:v>
      </x:c>
      <x:c r="B684" s="5" t="str">
        <x:v>Q16</x:v>
      </x:c>
      <x:c r="C684" s="5" t="str">
        <x:v>20 种常见食物的蛋白质含量数据</x:v>
      </x:c>
      <x:c r="D684" s="5" t="str">
        <x:v>http://mp.weixin.qq.com/s?__biz=MzUzNDQ2NTQ2Nw==&amp;mid=2247483985&amp;idx=1&amp;sn=0f948ccd03c8f7e3ab8c1566aa44d586&amp;chksm=fb4979ae9ddaae63f7bc13518a248cc6fea53f9bee8fa92127e758b4372a298ba405f824626f#rd</x:v>
      </x:c>
      <x:c r="E684" s="5" t="str">
        <x:v>mp.weixin.qq.com</x:v>
      </x:c>
      <x:c r="F684" s="5" t="str">
        <x:v>UGC/视频/公众号</x:v>
      </x:c>
      <x:c r="G684" s="5" t="str">
        <x:v>否</x:v>
      </x:c>
      <x:c r="H684" s="5" t="str"/>
      <x:c r="I684" s="5" t="str">
        <x:v>自然</x:v>
      </x:c>
      <x:c r="J684" s="5" t="str">
        <x:v>未核实</x:v>
      </x:c>
    </x:row>
    <x:row r="685" ht="27" customHeight="1">
      <x:c r="A685" s="5" t="str">
        <x:v>元宝</x:v>
      </x:c>
      <x:c r="B685" s="5" t="str">
        <x:v>Q16</x:v>
      </x:c>
      <x:c r="C685" s="5" t="str">
        <x:v>知吗?开门蛋白质补充选择题:蛋白粉是“捷径”,还是天然食物更靠谱?</x:v>
      </x:c>
      <x:c r="D685" s="5" t="str">
        <x:v>https://www.kepuchina.cn/article/articleinfo?ar_id=686163&amp;business_type=100&amp;classify=0</x:v>
      </x:c>
      <x:c r="E685" s="5" t="str">
        <x:v>kepuchina.cn</x:v>
      </x:c>
      <x:c r="F685" s="5" t="str">
        <x:v>其他网页</x:v>
      </x:c>
      <x:c r="G685" s="5" t="str">
        <x:v>否</x:v>
      </x:c>
      <x:c r="H685" s="5" t="str"/>
      <x:c r="I685" s="5" t="str">
        <x:v>自然</x:v>
      </x:c>
      <x:c r="J685" s="5" t="str">
        <x:v>未核实</x:v>
      </x:c>
    </x:row>
    <x:row r="686" ht="27" customHeight="1">
      <x:c r="A686" s="5" t="str">
        <x:v>元宝</x:v>
      </x:c>
      <x:c r="B686" s="5" t="str">
        <x:v>Q16</x:v>
      </x:c>
      <x:c r="C686" s="5" t="str">
        <x:v>你“吃对”蛋白质了吗</x:v>
      </x:c>
      <x:c r="D686" s="5" t="str">
        <x:v>https://www.cfnews.org.cn/newsinfo/11175157.html</x:v>
      </x:c>
      <x:c r="E686" s="5" t="str">
        <x:v>cfnews.org.cn</x:v>
      </x:c>
      <x:c r="F686" s="5" t="str">
        <x:v>其他网页</x:v>
      </x:c>
      <x:c r="G686" s="5" t="str">
        <x:v>否</x:v>
      </x:c>
      <x:c r="H686" s="5" t="str"/>
      <x:c r="I686" s="5" t="str">
        <x:v>自然</x:v>
      </x:c>
      <x:c r="J686" s="5" t="str">
        <x:v>未核实</x:v>
      </x:c>
    </x:row>
    <x:row r="687" ht="27" customHeight="1">
      <x:c r="A687" s="5" t="str">
        <x:v>元宝</x:v>
      </x:c>
      <x:c r="B687" s="5" t="str">
        <x:v>Q16</x:v>
      </x:c>
      <x:c r="C687" s="5" t="str">
        <x:v>國際運動營養學會最新指南-蛋白質攝取和運動的 13 個觀點</x:v>
      </x:c>
      <x:c r="D687" s="5" t="str">
        <x:v>https://www.pteam.com.tw/blogs/%E5%81%A5%E8%BA%AB%E7%A7%91%E5%AD%B8/118243</x:v>
      </x:c>
      <x:c r="E687" s="5" t="str">
        <x:v>pteam.com.tw</x:v>
      </x:c>
      <x:c r="F687" s="5" t="str">
        <x:v>其他网页</x:v>
      </x:c>
      <x:c r="G687" s="5" t="str">
        <x:v>否</x:v>
      </x:c>
      <x:c r="H687" s="5" t="str"/>
      <x:c r="I687" s="5" t="str">
        <x:v>自然</x:v>
      </x:c>
      <x:c r="J687" s="5" t="str">
        <x:v>未核实</x:v>
      </x:c>
    </x:row>
    <x:row r="688" ht="27" customHeight="1">
      <x:c r="A688" s="5" t="str">
        <x:v>元宝</x:v>
      </x:c>
      <x:c r="B688" s="5" t="str">
        <x:v>Q16</x:v>
      </x:c>
      <x:c r="C688" s="5" t="str">
        <x:v>宏观营养速查表:200种常见食品一览(蛋白质､碳水化合物､脂肪､热量)— 2026年参考</x:v>
      </x:c>
      <x:c r="D688" s="5" t="str">
        <x:v>https://nutrola.app/zh/blog/macro-cheat-sheet-200-common-foods-protein-carbs-fat-reference-2026</x:v>
      </x:c>
      <x:c r="E688" s="5" t="str">
        <x:v>nutrola.app</x:v>
      </x:c>
      <x:c r="F688" s="5" t="str">
        <x:v>其他网页</x:v>
      </x:c>
      <x:c r="G688" s="5" t="str">
        <x:v>否</x:v>
      </x:c>
      <x:c r="H688" s="5" t="str"/>
      <x:c r="I688" s="5" t="str">
        <x:v>自然</x:v>
      </x:c>
      <x:c r="J688" s="5" t="str">
        <x:v>未核实</x:v>
      </x:c>
    </x:row>
    <x:row r="689" ht="27" customHeight="1">
      <x:c r="A689" s="5" t="str">
        <x:v>元宝</x:v>
      </x:c>
      <x:c r="B689" s="5" t="str">
        <x:v>Q16</x:v>
      </x:c>
      <x:c r="C689" s="5" t="str">
        <x:v>健身吃植物蛋白还是动物蛋白</x:v>
      </x:c>
      <x:c r="D689" s="5" t="str">
        <x:v>https://m.bohe.cn/zxmip/1026161.html</x:v>
      </x:c>
      <x:c r="E689" s="5" t="str">
        <x:v>bohe.cn</x:v>
      </x:c>
      <x:c r="F689" s="5" t="str">
        <x:v>其他网页</x:v>
      </x:c>
      <x:c r="G689" s="5" t="str">
        <x:v>否</x:v>
      </x:c>
      <x:c r="H689" s="5" t="str"/>
      <x:c r="I689" s="5" t="str">
        <x:v>自然</x:v>
      </x:c>
      <x:c r="J689" s="5" t="str">
        <x:v>未核实</x:v>
      </x:c>
    </x:row>
    <x:row r="690" ht="27" customHeight="1">
      <x:c r="A690" s="5" t="str">
        <x:v>元宝</x:v>
      </x:c>
      <x:c r="B690" s="5" t="str">
        <x:v>Q17</x:v>
      </x:c>
      <x:c r="C690" s="5" t="str">
        <x:v>会员精品 泉康生物:致力成为复配食品科技行业的领跑者</x:v>
      </x:c>
      <x:c r="D690" s="5" t="str">
        <x:v>http://mp.weixin.qq.com/s?__biz=MzkyOTM0ODY5Nw==&amp;mid=2247484556&amp;idx=1&amp;sn=9c4565fbb25828ae210cda6b6f062357&amp;chksm=c39e38605b880638ac2f02469e2d6e490ed1ac0f3f27119434b80199b991104bd0d62e0494de#rd</x:v>
      </x:c>
      <x:c r="E690" s="5" t="str">
        <x:v>mp.weixin.qq.com</x:v>
      </x:c>
      <x:c r="F690" s="5" t="str">
        <x:v>UGC/视频/公众号</x:v>
      </x:c>
      <x:c r="G690" s="5" t="str">
        <x:v>是</x:v>
      </x:c>
      <x:c r="H690" s="5" t="str">
        <x:v>怡可纳</x:v>
      </x:c>
      <x:c r="I690" s="5" t="str">
        <x:v>主动</x:v>
      </x:c>
      <x:c r="J690" s="5" t="str">
        <x:v>未核实</x:v>
      </x:c>
    </x:row>
    <x:row r="691" ht="27" customHeight="1">
      <x:c r="A691" s="5" t="str">
        <x:v>元宝</x:v>
      </x:c>
      <x:c r="B691" s="5" t="str">
        <x:v>Q17</x:v>
      </x:c>
      <x:c r="C691" s="5" t="str">
        <x:v>服务焕新重新认识怡可纳</x:v>
      </x:c>
      <x:c r="D691" s="5" t="str">
        <x:v>http://mp.weixin.qq.com/s?__biz=MzU4OTgxMTMyMA==&amp;mid=2247484714&amp;idx=1&amp;sn=411276139a9b6fd1a1b868c8ddb83b72&amp;chksm=fc51ad73de293903205ff606c3c76d47e2af14351826e8fe0a1e67bd9be616cbb04c117cb0fc#rd</x:v>
      </x:c>
      <x:c r="E691" s="5" t="str">
        <x:v>mp.weixin.qq.com</x:v>
      </x:c>
      <x:c r="F691" s="5" t="str">
        <x:v>UGC/视频/公众号</x:v>
      </x:c>
      <x:c r="G691" s="5" t="str">
        <x:v>是</x:v>
      </x:c>
      <x:c r="H691" s="5" t="str">
        <x:v>怡可纳</x:v>
      </x:c>
      <x:c r="I691" s="5" t="str">
        <x:v>主动</x:v>
      </x:c>
      <x:c r="J691" s="5" t="str">
        <x:v>未核实</x:v>
      </x:c>
    </x:row>
    <x:row r="692" ht="27" customHeight="1">
      <x:c r="A692" s="5" t="str">
        <x:v>元宝</x:v>
      </x:c>
      <x:c r="B692" s="5" t="str">
        <x:v>Q17</x:v>
      </x:c>
      <x:c r="C692" s="5" t="str">
        <x:v>怡可纳品牌介绍</x:v>
      </x:c>
      <x:c r="D692" s="5" t="str">
        <x:v>https://www.fagua.net/brand-22369.html</x:v>
      </x:c>
      <x:c r="E692" s="5" t="str">
        <x:v>fagua.net</x:v>
      </x:c>
      <x:c r="F692" s="5" t="str">
        <x:v>其他网页</x:v>
      </x:c>
      <x:c r="G692" s="5" t="str">
        <x:v>是</x:v>
      </x:c>
      <x:c r="H692" s="5" t="str">
        <x:v>怡可纳</x:v>
      </x:c>
      <x:c r="I692" s="5" t="str">
        <x:v>主动</x:v>
      </x:c>
      <x:c r="J692" s="5" t="str">
        <x:v>未核实</x:v>
      </x:c>
    </x:row>
    <x:row r="693" ht="27" customHeight="1">
      <x:c r="A693" s="5" t="str">
        <x:v>元宝</x:v>
      </x:c>
      <x:c r="B693" s="5" t="str">
        <x:v>Q17</x:v>
      </x:c>
      <x:c r="C693" s="5" t="str">
        <x:v>怡可纳</x:v>
      </x:c>
      <x:c r="D693" s="5" t="str">
        <x:v>https://mip.chinapp.com/pinpai/346905</x:v>
      </x:c>
      <x:c r="E693" s="5" t="str">
        <x:v>mip.chinapp.com</x:v>
      </x:c>
      <x:c r="F693" s="5" t="str">
        <x:v>其他网页</x:v>
      </x:c>
      <x:c r="G693" s="5" t="str">
        <x:v>是</x:v>
      </x:c>
      <x:c r="H693" s="5" t="str">
        <x:v>怡可纳</x:v>
      </x:c>
      <x:c r="I693" s="5" t="str">
        <x:v>主动</x:v>
      </x:c>
      <x:c r="J693" s="5" t="str">
        <x:v>未核实</x:v>
      </x:c>
    </x:row>
    <x:row r="694" ht="27" customHeight="1">
      <x:c r="A694" s="5" t="str">
        <x:v>元宝</x:v>
      </x:c>
      <x:c r="B694" s="5" t="str">
        <x:v>Q18</x:v>
      </x:c>
      <x:c r="C694" s="5" t="str">
        <x:v>怡可纳蛋白粉 - 淘宝精选</x:v>
      </x:c>
      <x:c r="D694" s="5" t="str">
        <x:v>https://uland.taobao.com/item/edetail?id=rbQZrQotOtVm2eX2ReHM5urCZ-NPvjWDCnDkqjzygcG</x:v>
      </x:c>
      <x:c r="E694" s="5" t="str">
        <x:v>uland.taobao.com</x:v>
      </x:c>
      <x:c r="F694" s="5" t="str">
        <x:v>电商</x:v>
      </x:c>
      <x:c r="G694" s="5" t="str">
        <x:v>是</x:v>
      </x:c>
      <x:c r="H694" s="5" t="str">
        <x:v>怡可纳</x:v>
      </x:c>
      <x:c r="I694" s="5" t="str">
        <x:v>主动</x:v>
      </x:c>
      <x:c r="J694" s="5" t="str">
        <x:v>未核实</x:v>
      </x:c>
    </x:row>
    <x:row r="695" ht="27" customHeight="1">
      <x:c r="A695" s="5" t="str">
        <x:v>元宝</x:v>
      </x:c>
      <x:c r="B695" s="5" t="str">
        <x:v>Q18</x:v>
      </x:c>
      <x:c r="C695" s="5" t="str">
        <x:v>怡可纳蛋白粉 - 天猫精选</x:v>
      </x:c>
      <x:c r="D695" s="5" t="str">
        <x:v>https://s.click.taobao.com/t?e=m%3D2%26s%3Da0g147OjsEtw4vFB6t2Z2ueEDrYVVa64yK8Cckff7TVRAdhuF14FMUANQxy0pbNM5x%2BIUlGKNpWbBjBh3LodcDtMDMUFdHxsEga%2Bn4dNFSFW2RGh2%2FLyNYVwhIsr1DlAgb9ZeSZXs4rQ5thPdhAOVKJlKpAVa%2BCMZ1dxGqu8quJKQqiC6JldGc6eShwAT45JDLbG%2FIw2mVm8wyuZHWJIRs7MnDRT%2BiAwbyt66VQbQpL06ZUwfAlYFA6jil%2FEfrmTbkoc5A4PXY5AWnuNX9%2FTvSYCeslw%2Fy30gHp1FTZO1rPGDF1NzTQoPw%3D%3D&amp;union_lens=lensId:TAPI@1790581265@2166c47e_146b_1a0e6f5d631_b8a9@01</x:v>
      </x:c>
      <x:c r="E695" s="5" t="str">
        <x:v>s.click.taobao.com</x:v>
      </x:c>
      <x:c r="F695" s="5" t="str">
        <x:v>电商</x:v>
      </x:c>
      <x:c r="G695" s="5" t="str">
        <x:v>是</x:v>
      </x:c>
      <x:c r="H695" s="5" t="str">
        <x:v>怡可纳</x:v>
      </x:c>
      <x:c r="I695" s="5" t="str">
        <x:v>主动</x:v>
      </x:c>
      <x:c r="J695" s="5" t="str">
        <x:v>未核实</x:v>
      </x:c>
    </x:row>
    <x:row r="696" ht="27" customHeight="1">
      <x:c r="A696" s="5" t="str">
        <x:v>元宝</x:v>
      </x:c>
      <x:c r="B696" s="5" t="str">
        <x:v>Q18</x:v>
      </x:c>
      <x:c r="C696" s="5" t="str">
        <x:v>蛋白粉选购科普:长期蛋白补充 蛋白粉合规甄别标准与市场样本参考</x:v>
      </x:c>
      <x:c r="D696" s="5" t="str">
        <x:v>https://www.toutiao.com/article/7686821956049535514</x:v>
      </x:c>
      <x:c r="E696" s="5" t="str">
        <x:v>toutiao.com</x:v>
      </x:c>
      <x:c r="F696" s="5" t="str">
        <x:v>UGC/视频/公众号</x:v>
      </x:c>
      <x:c r="G696" s="5" t="str">
        <x:v>是</x:v>
      </x:c>
      <x:c r="H696" s="5" t="str">
        <x:v>怡可纳</x:v>
      </x:c>
      <x:c r="I696" s="5" t="str">
        <x:v>主动</x:v>
      </x:c>
      <x:c r="J696" s="5" t="str">
        <x:v>未核实</x:v>
      </x:c>
    </x:row>
    <x:row r="697" ht="27" customHeight="1">
      <x:c r="A697" s="5" t="str">
        <x:v>元宝</x:v>
      </x:c>
      <x:c r="B697" s="5" t="str">
        <x:v>Q18</x:v>
      </x:c>
      <x:c r="C697" s="5" t="str">
        <x:v>有没有高性价比的蛋白粉?推荐一下</x:v>
      </x:c>
      <x:c r="D697" s="5" t="str">
        <x:v>https://waptieba.baidu.com/p/9819206187?</x:v>
      </x:c>
      <x:c r="E697" s="5" t="str">
        <x:v>waptieba.baidu.com</x:v>
      </x:c>
      <x:c r="F697" s="5" t="str">
        <x:v>UGC/视频/公众号</x:v>
      </x:c>
      <x:c r="G697" s="5" t="str">
        <x:v>是</x:v>
      </x:c>
      <x:c r="H697" s="5" t="str">
        <x:v>怡可纳</x:v>
      </x:c>
      <x:c r="I697" s="5" t="str">
        <x:v>主动</x:v>
      </x:c>
      <x:c r="J697" s="5" t="str">
        <x:v>未核实</x:v>
      </x:c>
    </x:row>
    <x:row r="698" ht="27" customHeight="1">
      <x:c r="A698" s="5" t="str">
        <x:v>元宝</x:v>
      </x:c>
      <x:c r="B698" s="5" t="str">
        <x:v>Q18</x:v>
      </x:c>
      <x:c r="C698" s="5" t="str">
        <x:v>怡可纳蛋白粉 - 京东</x:v>
      </x:c>
      <x:c r="D698" s="5" t="str">
        <x:v>https://union-click.jd.com/jdc?e=&amp;p=JF8BAS4JK1olWAYEXFlVDk4XAV8IGlsWVQUKUFleDUwRAV9MRANLAjZbERscSkAJHTdNTwcKBlMdBgABFksWA2wAGFMRWgUHU1hfFxJSXzI4AUFTAgVUCyo9CjEQWG1LfyxgI1AAJFJROE8RAGkMGloUXjYCVV9cCUIfCmcKK18TMwdsVFdYZkwQVDsOT1wSDlYHVgpeCxgnA244WjUVXAIEUF5eDHsWM28OE1oRVAYBU1pVC0InA2cMK4y889CO8orkopylgV84K1glbTYCZF1tViUWBD9aHw4QX2heEAQUTAgTWwEKHVoSWwYEU25fCUoVAV84KwtmNAdBVSEmTDR-em5dYyURPE5LLV8IWCJwVmt6cjUXHFZqAyskaBNoSidIfyNzFEQyVG5eDkMeAV8JKw</x:v>
      </x:c>
      <x:c r="E698" s="5" t="str">
        <x:v>union-click.jd.com</x:v>
      </x:c>
      <x:c r="F698" s="5" t="str">
        <x:v>电商</x:v>
      </x:c>
      <x:c r="G698" s="5" t="str">
        <x:v>是</x:v>
      </x:c>
      <x:c r="H698" s="5" t="str">
        <x:v>怡可纳</x:v>
      </x:c>
      <x:c r="I698" s="5" t="str">
        <x:v>主动</x:v>
      </x:c>
      <x:c r="J698" s="5" t="str">
        <x:v>未核实</x:v>
      </x:c>
    </x:row>
    <x:row r="699" ht="27" customHeight="1">
      <x:c r="A699" s="5" t="str">
        <x:v>元宝</x:v>
      </x:c>
      <x:c r="B699" s="5" t="str">
        <x:v>Q18</x:v>
      </x:c>
      <x:c r="C699" s="5" t="str">
        <x:v>怡可纳酵母蛋白粉</x:v>
      </x:c>
      <x:c r="D699" s="5" t="str">
        <x:v>https://pages.baidu.com/show?id=409ea0dca4846adb4366498e</x:v>
      </x:c>
      <x:c r="E699" s="5" t="str">
        <x:v>pages.baidu.com</x:v>
      </x:c>
      <x:c r="F699" s="5" t="str">
        <x:v>其他网页</x:v>
      </x:c>
      <x:c r="G699" s="5" t="str">
        <x:v>是</x:v>
      </x:c>
      <x:c r="H699" s="5" t="str">
        <x:v>怡可纳</x:v>
      </x:c>
      <x:c r="I699" s="5" t="str">
        <x:v>主动</x:v>
      </x:c>
      <x:c r="J699" s="5" t="str">
        <x:v>未核实</x:v>
      </x:c>
    </x:row>
    <x:row r="700" ht="27" customHeight="1">
      <x:c r="A700" s="5" t="str">
        <x:v>元宝</x:v>
      </x:c>
      <x:c r="B700" s="5" t="str">
        <x:v>Q18</x:v>
      </x:c>
      <x:c r="C700" s="5" t="str">
        <x:v>怡可纳品牌健身乳清蛋白粉怎么样-怡可纳品牌介绍､联系方式</x:v>
      </x:c>
      <x:c r="D700" s="5" t="str">
        <x:v>https://m.chinapp.com/scpinpai/346905</x:v>
      </x:c>
      <x:c r="E700" s="5" t="str">
        <x:v>chinapp.com</x:v>
      </x:c>
      <x:c r="F700" s="5" t="str">
        <x:v>其他网页</x:v>
      </x:c>
      <x:c r="G700" s="5" t="str">
        <x:v>是</x:v>
      </x:c>
      <x:c r="H700" s="5" t="str">
        <x:v>怡可纳</x:v>
      </x:c>
      <x:c r="I700" s="5" t="str">
        <x:v>主动</x:v>
      </x:c>
      <x:c r="J700" s="5" t="str">
        <x:v>未核实</x:v>
      </x:c>
    </x:row>
    <x:row r="701" ht="27" customHeight="1">
      <x:c r="A701" s="5" t="str">
        <x:v>元宝</x:v>
      </x:c>
      <x:c r="B701" s="5" t="str">
        <x:v>Q18</x:v>
      </x:c>
      <x:c r="C701" s="5" t="str">
        <x:v>买了桶便宜的怡可纳酵母蛋白粉</x:v>
      </x:c>
      <x:c r="D701" s="5" t="str">
        <x:v>https://post.smzdm.com/talk/p/a44m83ow/</x:v>
      </x:c>
      <x:c r="E701" s="5" t="str">
        <x:v>post.smzdm.com</x:v>
      </x:c>
      <x:c r="F701" s="5" t="str">
        <x:v>UGC/视频/公众号</x:v>
      </x:c>
      <x:c r="G701" s="5" t="str">
        <x:v>是</x:v>
      </x:c>
      <x:c r="H701" s="5" t="str">
        <x:v>怡可纳</x:v>
      </x:c>
      <x:c r="I701" s="5" t="str">
        <x:v>主动</x:v>
      </x:c>
      <x:c r="J701" s="5" t="str">
        <x:v>未核实</x:v>
      </x:c>
    </x:row>
    <x:row r="702" ht="27" customHeight="1">
      <x:c r="A702" s="5" t="str">
        <x:v>元宝</x:v>
      </x:c>
      <x:c r="B702" s="5" t="str">
        <x:v>Q18</x:v>
      </x:c>
      <x:c r="C702" s="5" t="str">
        <x:v>乳糖不耐受也能狂增肌?怡可纳蛋白粉实测真相了</x:v>
      </x:c>
      <x:c r="D702" s="5" t="str">
        <x:v>http://mp.weixin.qq.com/s?__biz=MzkyMTcxMDMzMA==&amp;mid=2247483674&amp;idx=1&amp;sn=55801b6a24a241b2ee57fb85b0754a26&amp;chksm=c01c8347f572d7b8ecc9bad116684bca86541e28da8bb78ea322099b2d70087896b007c9a961#rd</x:v>
      </x:c>
      <x:c r="E702" s="5" t="str">
        <x:v>mp.weixin.qq.com</x:v>
      </x:c>
      <x:c r="F702" s="5" t="str">
        <x:v>UGC/视频/公众号</x:v>
      </x:c>
      <x:c r="G702" s="5" t="str">
        <x:v>是</x:v>
      </x:c>
      <x:c r="H702" s="5" t="str">
        <x:v>怡可纳</x:v>
      </x:c>
      <x:c r="I702" s="5" t="str">
        <x:v>主动</x:v>
      </x:c>
      <x:c r="J702" s="5" t="str">
        <x:v>未核实</x:v>
      </x:c>
    </x:row>
    <x:row r="703" ht="27" customHeight="1">
      <x:c r="A703" s="5" t="str">
        <x:v>元宝</x:v>
      </x:c>
      <x:c r="B703" s="5" t="str">
        <x:v>Q18</x:v>
      </x:c>
      <x:c r="C703" s="5" t="str">
        <x:v>服务焕新重新认识怡可纳</x:v>
      </x:c>
      <x:c r="D703" s="5" t="str">
        <x:v>http://mp.weixin.qq.com/s?__biz=MzU4OTgxMTMyMA==&amp;mid=2247484714&amp;idx=1&amp;sn=411276139a9b6fd1a1b868c8ddb83b72&amp;chksm=fc51ad73de293903205ff606c3c76d47e2af14351826e8fe0a1e67bd9be616cbb04c117cb0fc#rd</x:v>
      </x:c>
      <x:c r="E703" s="5" t="str">
        <x:v>mp.weixin.qq.com</x:v>
      </x:c>
      <x:c r="F703" s="5" t="str">
        <x:v>UGC/视频/公众号</x:v>
      </x:c>
      <x:c r="G703" s="5" t="str">
        <x:v>是</x:v>
      </x:c>
      <x:c r="H703" s="5" t="str">
        <x:v>怡可纳</x:v>
      </x:c>
      <x:c r="I703" s="5" t="str">
        <x:v>主动</x:v>
      </x:c>
      <x:c r="J703" s="5" t="str">
        <x:v>未核实</x:v>
      </x:c>
    </x:row>
    <x:row r="704" ht="27" customHeight="1">
      <x:c r="A704" s="5" t="str">
        <x:v>元宝</x:v>
      </x:c>
      <x:c r="B704" s="5" t="str">
        <x:v>Q18</x:v>
      </x:c>
      <x:c r="C704" s="5" t="str">
        <x:v>怡可纳简介</x:v>
      </x:c>
      <x:c r="D704" s="5" t="str">
        <x:v>https://www.cnpp.cn/brand/1635897.html</x:v>
      </x:c>
      <x:c r="E704" s="5" t="str">
        <x:v>cnpp.cn</x:v>
      </x:c>
      <x:c r="F704" s="5" t="str">
        <x:v>其他网页</x:v>
      </x:c>
      <x:c r="G704" s="5" t="str">
        <x:v>是</x:v>
      </x:c>
      <x:c r="H704" s="5" t="str">
        <x:v>怡可纳</x:v>
      </x:c>
      <x:c r="I704" s="5" t="str">
        <x:v>主动</x:v>
      </x:c>
      <x:c r="J704" s="5" t="str">
        <x:v>未核实</x:v>
      </x:c>
    </x:row>
    <x:row r="705" ht="27" customHeight="1">
      <x:c r="A705" s="5" t="str">
        <x:v>元宝</x:v>
      </x:c>
      <x:c r="B705" s="5" t="str">
        <x:v>Q18</x:v>
      </x:c>
      <x:c r="C705" s="5" t="str">
        <x:v>穷哥们福利,怡可纳酵母蛋白粉50元优惠券领取方法#蛋白粉 #强烈推荐 #健身补剂 #酵母蛋白粉</x:v>
      </x:c>
      <x:c r="D705" s="5" t="str">
        <x:v>https://post.smzdm.com/zz/p/awmpokvk/</x:v>
      </x:c>
      <x:c r="E705" s="5" t="str">
        <x:v>post.smzdm.com</x:v>
      </x:c>
      <x:c r="F705" s="5" t="str">
        <x:v>UGC/视频/公众号</x:v>
      </x:c>
      <x:c r="G705" s="5" t="str">
        <x:v>是</x:v>
      </x:c>
      <x:c r="H705" s="5" t="str">
        <x:v>怡可纳</x:v>
      </x:c>
      <x:c r="I705" s="5" t="str">
        <x:v>主动</x:v>
      </x:c>
      <x:c r="J705" s="5" t="str">
        <x:v>未核实</x:v>
      </x:c>
    </x:row>
    <x:row r="706" ht="27" customHeight="1">
      <x:c r="A706" s="5" t="str">
        <x:v>元宝</x:v>
      </x:c>
      <x:c r="B706" s="5" t="str">
        <x:v>Q18</x:v>
      </x:c>
      <x:c r="C706" s="5" t="str">
        <x:v>蛋白粉种类这么多 该如何选择?</x:v>
      </x:c>
      <x:c r="D706" s="5" t="str">
        <x:v>http://mp.weixin.qq.com/s?__biz=Mzk0MTY4MTA2MA==&amp;mid=2247483761&amp;idx=1&amp;sn=b4d7485636b1b8ace32d9d845751a047&amp;chksm=c3cd1529adab8bc746b567d8da7992e65db553b1c762057680df09f31665c6b89e489ebb8d28#rd</x:v>
      </x:c>
      <x:c r="E706" s="5" t="str">
        <x:v>mp.weixin.qq.com</x:v>
      </x:c>
      <x:c r="F706" s="5" t="str">
        <x:v>UGC/视频/公众号</x:v>
      </x:c>
      <x:c r="G706" s="5" t="str">
        <x:v>是</x:v>
      </x:c>
      <x:c r="H706" s="5" t="str">
        <x:v>怡可纳</x:v>
      </x:c>
      <x:c r="I706" s="5" t="str">
        <x:v>主动</x:v>
      </x:c>
      <x:c r="J706" s="5" t="str">
        <x:v>未核实</x:v>
      </x:c>
    </x:row>
    <x:row r="707" ht="27" customHeight="1">
      <x:c r="A707" s="5" t="str">
        <x:v>元宝</x:v>
      </x:c>
      <x:c r="B707" s="5" t="str">
        <x:v>Q18</x:v>
      </x:c>
      <x:c r="C707" s="5" t="str">
        <x:v>虚假宣传“怡可纳”!济南怡能食品科技有限公司被罚8万元</x:v>
      </x:c>
      <x:c r="D707" s="5" t="str">
        <x:v>http://mp.weixin.qq.com/s?__biz=MzYyMzM2MzI0OA==&amp;mid=2247491642&amp;idx=4&amp;sn=e5ec0c4f4bef22ff2c2e36360b4c4bd5&amp;chksm=fea487caedabd5ee2af4c40397731234ee4931ca81c5c776df7a748ff5c5afe3461029216716#rd</x:v>
      </x:c>
      <x:c r="E707" s="5" t="str">
        <x:v>mp.weixin.qq.com</x:v>
      </x:c>
      <x:c r="F707" s="5" t="str">
        <x:v>UGC/视频/公众号</x:v>
      </x:c>
      <x:c r="G707" s="5" t="str">
        <x:v>是</x:v>
      </x:c>
      <x:c r="H707" s="5" t="str">
        <x:v>怡可纳</x:v>
      </x:c>
      <x:c r="I707" s="5" t="str">
        <x:v>主动</x:v>
      </x:c>
      <x:c r="J707" s="5" t="str">
        <x:v>未核实</x:v>
      </x:c>
    </x:row>
    <x:row r="708" ht="27" customHeight="1">
      <x:c r="A708" s="5" t="str">
        <x:v>元宝</x:v>
      </x:c>
      <x:c r="B708" s="5" t="str">
        <x:v>Q18</x:v>
      </x:c>
      <x:c r="C708" s="5" t="str">
        <x:v>为保持客观就不打分排名了,以上纯属十年补剂从业者的客观测评,后面有新酵母蛋白进市场,会随时更新!#酵母蛋白 #酵母蛋白大测评 #Allkeep酵母蛋白 #怡可纳酵母蛋白 #赛霸酵母蛋白</x:v>
      </x:c>
      <x:c r="D708" s="5" t="str">
        <x:v>https://post.m.smzdm.com/zz/p/aqk3pn8v</x:v>
      </x:c>
      <x:c r="E708" s="5" t="str">
        <x:v>post.m.smzdm.com</x:v>
      </x:c>
      <x:c r="F708" s="5" t="str">
        <x:v>UGC/视频/公众号</x:v>
      </x:c>
      <x:c r="G708" s="5" t="str">
        <x:v>是</x:v>
      </x:c>
      <x:c r="H708" s="5" t="str">
        <x:v>怡可纳</x:v>
      </x:c>
      <x:c r="I708" s="5" t="str">
        <x:v>主动</x:v>
      </x:c>
      <x:c r="J708" s="5" t="str">
        <x:v>未核实</x:v>
      </x:c>
    </x:row>
    <x:row r="709" ht="27" customHeight="1">
      <x:c r="A709" s="5" t="str">
        <x:v>元宝</x:v>
      </x:c>
      <x:c r="B709" s="5" t="str">
        <x:v>Q18</x:v>
      </x:c>
      <x:c r="C709" s="5" t="str">
        <x:v>2026年蛋白粉高评分榜,哪些牌子蛋白粉大众好评多,口碑盘点</x:v>
      </x:c>
      <x:c r="D709" s="5" t="str">
        <x:v>https://m.toutiao.com/article/7681582346449011215</x:v>
      </x:c>
      <x:c r="E709" s="5" t="str">
        <x:v>toutiao.com</x:v>
      </x:c>
      <x:c r="F709" s="5" t="str">
        <x:v>UGC/视频/公众号</x:v>
      </x:c>
      <x:c r="G709" s="5" t="str">
        <x:v>是</x:v>
      </x:c>
      <x:c r="H709" s="5" t="str">
        <x:v>怡可纳</x:v>
      </x:c>
      <x:c r="I709" s="5" t="str">
        <x:v>主动</x:v>
      </x:c>
      <x:c r="J709" s="5" t="str">
        <x:v>未核实</x:v>
      </x:c>
    </x:row>
    <x:row r="710" ht="27" customHeight="1">
      <x:c r="A710" s="5" t="str">
        <x:v>元宝</x:v>
      </x:c>
      <x:c r="B710" s="5" t="str">
        <x:v>Q18</x:v>
      </x:c>
      <x:c r="C710" s="5" t="str">
        <x:v>商品怡可纳 酵母蛋白粉 71%蛋白质 花生可可味 2.27kg摇摇杯</x:v>
      </x:c>
      <x:c r="D710" s="5" t="str">
        <x:v>https://wiki.smzdm.com/p/6pqmepd/</x:v>
      </x:c>
      <x:c r="E710" s="5" t="str">
        <x:v>wiki.smzdm.com</x:v>
      </x:c>
      <x:c r="F710" s="5" t="str">
        <x:v>UGC/视频/公众号</x:v>
      </x:c>
      <x:c r="G710" s="5" t="str">
        <x:v>是</x:v>
      </x:c>
      <x:c r="H710" s="5" t="str">
        <x:v>怡可纳</x:v>
      </x:c>
      <x:c r="I710" s="5" t="str">
        <x:v>主动</x:v>
      </x:c>
      <x:c r="J710" s="5" t="str">
        <x:v>未核实</x:v>
      </x:c>
    </x:row>
    <x:row r="711" ht="27" customHeight="1">
      <x:c r="A711" s="5" t="str">
        <x:v>元宝</x:v>
      </x:c>
      <x:c r="B711" s="5" t="str">
        <x:v>Q18</x:v>
      </x:c>
      <x:c r="C711" s="5" t="str">
        <x:v>泉康生物:致力成为复配食品科技行业的领跑者</x:v>
      </x:c>
      <x:c r="D711" s="5" t="str">
        <x:v>http://spcjh.com/index.php?id=278</x:v>
      </x:c>
      <x:c r="E711" s="5" t="str">
        <x:v>spcjh.com</x:v>
      </x:c>
      <x:c r="F711" s="5" t="str">
        <x:v>其他网页</x:v>
      </x:c>
      <x:c r="G711" s="5" t="str">
        <x:v>是</x:v>
      </x:c>
      <x:c r="H711" s="5" t="str">
        <x:v>怡可纳</x:v>
      </x:c>
      <x:c r="I711" s="5" t="str">
        <x:v>主动</x:v>
      </x:c>
      <x:c r="J711" s="5" t="str">
        <x:v>未核实</x:v>
      </x:c>
    </x:row>
    <x:row r="712" ht="27" customHeight="1">
      <x:c r="A712" s="5" t="str">
        <x:v>元宝</x:v>
      </x:c>
      <x:c r="B712" s="5" t="str">
        <x:v>Q18</x:v>
      </x:c>
      <x:c r="C712" s="5" t="str">
        <x:v>乳糖不耐受终于能喝蛋白粉了?酵母蛋白真实评测:不胀气是真还是噱头</x:v>
      </x:c>
      <x:c r="D712" s="5" t="str">
        <x:v>https://post.smzdm.com/p/a6zozzxg</x:v>
      </x:c>
      <x:c r="E712" s="5" t="str">
        <x:v>post.smzdm.com</x:v>
      </x:c>
      <x:c r="F712" s="5" t="str">
        <x:v>UGC/视频/公众号</x:v>
      </x:c>
      <x:c r="G712" s="5" t="str">
        <x:v>是</x:v>
      </x:c>
      <x:c r="H712" s="5" t="str">
        <x:v>怡可纳</x:v>
      </x:c>
      <x:c r="I712" s="5" t="str">
        <x:v>主动</x:v>
      </x:c>
      <x:c r="J712" s="5" t="str">
        <x:v>未核实</x:v>
      </x:c>
    </x:row>
    <x:row r="713" ht="27" customHeight="1">
      <x:c r="A713" s="5" t="str">
        <x:v>元宝</x:v>
      </x:c>
      <x:c r="B713" s="5" t="str">
        <x:v>Q18</x:v>
      </x:c>
      <x:c r="C713" s="5" t="str">
        <x:v>怡可纳网址导航 - 精选健康食品资源大全</x:v>
      </x:c>
      <x:c r="D713" s="5" t="str">
        <x:v>https://www.cnnav.com/sites/153977.html</x:v>
      </x:c>
      <x:c r="E713" s="5" t="str">
        <x:v>cnnav.com</x:v>
      </x:c>
      <x:c r="F713" s="5" t="str">
        <x:v>其他网页</x:v>
      </x:c>
      <x:c r="G713" s="5" t="str">
        <x:v>是</x:v>
      </x:c>
      <x:c r="H713" s="5" t="str">
        <x:v>怡可纳</x:v>
      </x:c>
      <x:c r="I713" s="5" t="str">
        <x:v>主动</x:v>
      </x:c>
      <x:c r="J713" s="5" t="str">
        <x:v>未核实</x:v>
      </x:c>
    </x:row>
    <x:row r="714" ht="27" customHeight="1">
      <x:c r="A714" s="5" t="str">
        <x:v>元宝</x:v>
      </x:c>
      <x:c r="B714" s="5" t="str">
        <x:v>Q18</x:v>
      </x:c>
      <x:c r="C714" s="5" t="str">
        <x:v>酵母蛋白:被误解的低嘌呤优质蛋白,科学认知亟待普及</x:v>
      </x:c>
      <x:c r="D714" s="5" t="str">
        <x:v>https://www.kepuchina.cn/article/articleinfo?ar_id=656689&amp;business_type=100&amp;classify=0</x:v>
      </x:c>
      <x:c r="E714" s="5" t="str">
        <x:v>kepuchina.cn</x:v>
      </x:c>
      <x:c r="F714" s="5" t="str">
        <x:v>其他网页</x:v>
      </x:c>
      <x:c r="G714" s="5" t="str">
        <x:v>是</x:v>
      </x:c>
      <x:c r="H714" s="5" t="str">
        <x:v>怡可纳</x:v>
      </x:c>
      <x:c r="I714" s="5" t="str">
        <x:v>主动</x:v>
      </x:c>
      <x:c r="J714" s="5" t="str">
        <x:v>未核实</x:v>
      </x:c>
    </x:row>
    <x:row r="715" ht="27" customHeight="1">
      <x:c r="A715" s="5" t="str">
        <x:v>元宝</x:v>
      </x:c>
      <x:c r="B715" s="5" t="str">
        <x:v>Q18</x:v>
      </x:c>
      <x:c r="C715" s="5" t="str">
        <x:v>营养不是靠一个“粉”就能解决问题!</x:v>
      </x:c>
      <x:c r="D715" s="5" t="str">
        <x:v>https://m.gmw.cn/2026-02/27/content_1304357064.htm</x:v>
      </x:c>
      <x:c r="E715" s="5" t="str">
        <x:v>gmw.cn</x:v>
      </x:c>
      <x:c r="F715" s="5" t="str">
        <x:v>其他网页</x:v>
      </x:c>
      <x:c r="G715" s="5" t="str">
        <x:v>是</x:v>
      </x:c>
      <x:c r="H715" s="5" t="str">
        <x:v>怡可纳</x:v>
      </x:c>
      <x:c r="I715" s="5" t="str">
        <x:v>主动</x:v>
      </x:c>
      <x:c r="J715" s="5" t="str">
        <x:v>未核实</x:v>
      </x:c>
    </x:row>
    <x:row r="716" ht="27" customHeight="1">
      <x:c r="A716" s="5" t="str">
        <x:v>元宝</x:v>
      </x:c>
      <x:c r="B716" s="5" t="str">
        <x:v>Q18</x:v>
      </x:c>
      <x:c r="C716" s="5" t="str">
        <x:v>“酵母蛋白”, 怎么成了香饽饽</x:v>
      </x:c>
      <x:c r="D716" s="5" t="str">
        <x:v>http://mp.weixin.qq.com/s?__biz=MjM5Njk5NDEyMQ==&amp;mid=2654613020&amp;idx=3&amp;sn=d9f5b23bd3e02225eb930e8f4eec8547&amp;chksm=bc5904ebac81f0b73b85621f03913a66bc07a04e532164135d324e725bb30f91d90d56daff22#rd</x:v>
      </x:c>
      <x:c r="E716" s="5" t="str">
        <x:v>mp.weixin.qq.com</x:v>
      </x:c>
      <x:c r="F716" s="5" t="str">
        <x:v>UGC/视频/公众号</x:v>
      </x:c>
      <x:c r="G716" s="5" t="str">
        <x:v>是</x:v>
      </x:c>
      <x:c r="H716" s="5" t="str">
        <x:v>怡可纳</x:v>
      </x:c>
      <x:c r="I716" s="5" t="str">
        <x:v>主动</x:v>
      </x:c>
      <x:c r="J716" s="5" t="str">
        <x:v>未核实</x:v>
      </x:c>
    </x:row>
    <x:row r="717" ht="27" customHeight="1">
      <x:c r="A717" s="5" t="str">
        <x:v>元宝</x:v>
      </x:c>
      <x:c r="B717" s="5" t="str">
        <x:v>Q18</x:v>
      </x:c>
      <x:c r="C717" s="5" t="str">
        <x:v>酵母蛋白:被“正名”的低嘌呤优质蛋白——来自法规､工艺与临床证据的系统梳理</x:v>
      </x:c>
      <x:c r="D717" s="5" t="str">
        <x:v>https://shipin.sdnews.com.cn/sppp/202511/t20251128_4608247.htm</x:v>
      </x:c>
      <x:c r="E717" s="5" t="str">
        <x:v>shipin.sdnews.com.cn</x:v>
      </x:c>
      <x:c r="F717" s="5" t="str">
        <x:v>综合媒体/转载</x:v>
      </x:c>
      <x:c r="G717" s="5" t="str">
        <x:v>是</x:v>
      </x:c>
      <x:c r="H717" s="5" t="str">
        <x:v>怡可纳</x:v>
      </x:c>
      <x:c r="I717" s="5" t="str">
        <x:v>主动</x:v>
      </x:c>
      <x:c r="J717" s="5" t="str">
        <x:v>未核实</x:v>
      </x:c>
    </x:row>
    <x:row r="718" ht="27" customHeight="1">
      <x:c r="A718" s="5" t="str">
        <x:v>元宝</x:v>
      </x:c>
      <x:c r="B718" s="5" t="str">
        <x:v>Q18</x:v>
      </x:c>
      <x:c r="C718" s="5" t="str">
        <x:v>蛋白粉需要吃吗?先看看这篇“蛋白粉使用须知”</x:v>
      </x:c>
      <x:c r="D718" s="5" t="str">
        <x:v>https://wjw.beijing.gov.cn/bmfw_20143/jkzs/jksh/202211/t20221111_2856899.html</x:v>
      </x:c>
      <x:c r="E718" s="5" t="str">
        <x:v>wjw.beijing.gov.cn</x:v>
      </x:c>
      <x:c r="F718" s="5" t="str">
        <x:v>官方机构</x:v>
      </x:c>
      <x:c r="G718" s="5" t="str">
        <x:v>是</x:v>
      </x:c>
      <x:c r="H718" s="5" t="str">
        <x:v>怡可纳</x:v>
      </x:c>
      <x:c r="I718" s="5" t="str">
        <x:v>主动</x:v>
      </x:c>
      <x:c r="J718" s="5" t="str">
        <x:v>未核实</x:v>
      </x:c>
    </x:row>
    <x:row r="719" ht="27" customHeight="1">
      <x:c r="A719" s="5" t="str">
        <x:v>元宝</x:v>
      </x:c>
      <x:c r="B719" s="5" t="str">
        <x:v>Q18</x:v>
      </x:c>
      <x:c r="C719" s="5" t="str">
        <x:v>健康知识:蛋白粉你喝对了吗?</x:v>
      </x:c>
      <x:c r="D719" s="5" t="str">
        <x:v>http://mp.weixin.qq.com/s?src=11&amp;timestamp=1790581271&amp;ver=6993&amp;signature=Cv1NmWW7bNJXgqHZGy89o53iLlaKdJV2VfZkfBgxAxqWmFvdTsSPzru16bOwZLQMd*tMUxfmxu0DN8cBXkOLMBLYlTIEZA5tAp5KM7GVxWJr6PTkLSwQYF1-vlYCMfqr&amp;new=1</x:v>
      </x:c>
      <x:c r="E719" s="5" t="str">
        <x:v>mp.weixin.qq.com</x:v>
      </x:c>
      <x:c r="F719" s="5" t="str">
        <x:v>UGC/视频/公众号</x:v>
      </x:c>
      <x:c r="G719" s="5" t="str">
        <x:v>是</x:v>
      </x:c>
      <x:c r="H719" s="5" t="str">
        <x:v>怡可纳</x:v>
      </x:c>
      <x:c r="I719" s="5" t="str">
        <x:v>主动</x:v>
      </x:c>
      <x:c r="J719" s="5" t="str">
        <x:v>未核实</x:v>
      </x:c>
    </x:row>
    <x:row r="720" ht="27" customHeight="1">
      <x:c r="A720" s="5" t="str">
        <x:v>元宝</x:v>
      </x:c>
      <x:c r="B720" s="5" t="str">
        <x:v>Q18</x:v>
      </x:c>
      <x:c r="C720" s="5" t="str">
        <x:v>章丘区市场监管局发布食品安全领域突出问题专项整治(第三批)典型案例</x:v>
      </x:c>
      <x:c r="D720" s="5" t="str">
        <x:v>https://iapp.jnzqnews.cn/share/YS0xOTUtNDQyNTc5NTM.html</x:v>
      </x:c>
      <x:c r="E720" s="5" t="str">
        <x:v>iapp.jnzqnews.cn</x:v>
      </x:c>
      <x:c r="F720" s="5" t="str">
        <x:v>其他网页</x:v>
      </x:c>
      <x:c r="G720" s="5" t="str">
        <x:v>是</x:v>
      </x:c>
      <x:c r="H720" s="5" t="str">
        <x:v>怡可纳</x:v>
      </x:c>
      <x:c r="I720" s="5" t="str">
        <x:v>主动</x:v>
      </x:c>
      <x:c r="J720" s="5" t="str">
        <x:v>未核实</x:v>
      </x:c>
    </x:row>
    <x:row r="721" ht="27" customHeight="1">
      <x:c r="A721" s="5" t="str">
        <x:v>元宝</x:v>
      </x:c>
      <x:c r="B721" s="5" t="str">
        <x:v>Q18</x:v>
      </x:c>
      <x:c r="C721" s="5" t="str">
        <x:v>被加进蛋白棒､代餐奶昔的酵母蛋白,到底是什么?</x:v>
      </x:c>
      <x:c r="D721" s="5" t="str">
        <x:v>http://mp.weixin.qq.com/s?__biz=MjM5ODA1OTM0Mg==&amp;mid=2650346904&amp;idx=1&amp;sn=153ca7695ea64df65d551b671bc8b665&amp;chksm=bfcaed9a4f0b84ae0cfa81673ae41bbee44a9f042cc813f55cf805878f6a98c438722faef46e#rd</x:v>
      </x:c>
      <x:c r="E721" s="5" t="str">
        <x:v>mp.weixin.qq.com</x:v>
      </x:c>
      <x:c r="F721" s="5" t="str">
        <x:v>UGC/视频/公众号</x:v>
      </x:c>
      <x:c r="G721" s="5" t="str">
        <x:v>是</x:v>
      </x:c>
      <x:c r="H721" s="5" t="str">
        <x:v>怡可纳</x:v>
      </x:c>
      <x:c r="I721" s="5" t="str">
        <x:v>主动</x:v>
      </x:c>
      <x:c r="J721" s="5" t="str">
        <x:v>未核实</x:v>
      </x:c>
    </x:row>
    <x:row r="722" ht="27" customHeight="1">
      <x:c r="A722" s="5" t="str">
        <x:v>元宝</x:v>
      </x:c>
      <x:c r="B722" s="5" t="str">
        <x:v>Q18</x:v>
      </x:c>
      <x:c r="C722" s="5" t="str">
        <x:v>蛋白粉有没有副作用</x:v>
      </x:c>
      <x:c r="D722" s="5" t="str">
        <x:v>https://m.fh21.com.cn/article/view/1400340.html</x:v>
      </x:c>
      <x:c r="E722" s="5" t="str">
        <x:v>fh21.com.cn</x:v>
      </x:c>
      <x:c r="F722" s="5" t="str">
        <x:v>其他网页</x:v>
      </x:c>
      <x:c r="G722" s="5" t="str">
        <x:v>是</x:v>
      </x:c>
      <x:c r="H722" s="5" t="str">
        <x:v>怡可纳</x:v>
      </x:c>
      <x:c r="I722" s="5" t="str">
        <x:v>主动</x:v>
      </x:c>
      <x:c r="J722" s="5" t="str">
        <x:v>未核实</x:v>
      </x:c>
    </x:row>
    <x:row r="723" ht="27" customHeight="1">
      <x:c r="A723" s="5" t="str">
        <x:v>元宝</x:v>
      </x:c>
      <x:c r="B723" s="5" t="str">
        <x:v>Q18</x:v>
      </x:c>
      <x:c r="C723" s="5" t="str">
        <x:v>食品虚假宣传如何处罚</x:v>
      </x:c>
      <x:c r="D723" s="5" t="str">
        <x:v>https://m.66law.cn/question/56580947.aspx</x:v>
      </x:c>
      <x:c r="E723" s="5" t="str">
        <x:v>66law.cn</x:v>
      </x:c>
      <x:c r="F723" s="5" t="str">
        <x:v>其他网页</x:v>
      </x:c>
      <x:c r="G723" s="5" t="str">
        <x:v>是</x:v>
      </x:c>
      <x:c r="H723" s="5" t="str">
        <x:v>怡可纳</x:v>
      </x:c>
      <x:c r="I723" s="5" t="str">
        <x:v>主动</x:v>
      </x:c>
      <x:c r="J723" s="5" t="str">
        <x:v>未核实</x:v>
      </x:c>
    </x:row>
    <x:row r="724" ht="27" customHeight="1">
      <x:c r="A724" s="5" t="str">
        <x:v>元宝</x:v>
      </x:c>
      <x:c r="B724" s="5" t="str">
        <x:v>Q18</x:v>
      </x:c>
      <x:c r="C724" s="5" t="str">
        <x:v>宜昌“微”力量撬动营养新赛道 安琪酵母蛋白“入编”新国标</x:v>
      </x:c>
      <x:c r="D724" s="5" t="str">
        <x:v>http://gzw.yichang.gov.cn/content-40899-17845-1.html</x:v>
      </x:c>
      <x:c r="E724" s="5" t="str">
        <x:v>gzw.yichang.gov.cn</x:v>
      </x:c>
      <x:c r="F724" s="5" t="str">
        <x:v>官方机构</x:v>
      </x:c>
      <x:c r="G724" s="5" t="str">
        <x:v>是</x:v>
      </x:c>
      <x:c r="H724" s="5" t="str">
        <x:v>怡可纳</x:v>
      </x:c>
      <x:c r="I724" s="5" t="str">
        <x:v>主动</x:v>
      </x:c>
      <x:c r="J724" s="5" t="str">
        <x:v>未核实</x:v>
      </x:c>
    </x:row>
    <x:row r="725" ht="27" customHeight="1">
      <x:c r="A725" s="5" t="str">
        <x:v>元宝</x:v>
      </x:c>
      <x:c r="B725" s="5" t="str">
        <x:v>Q19</x:v>
      </x:c>
      <x:c r="C725" s="5" t="str">
        <x:v>怡可纳酵母蛋白 - 淘宝精选</x:v>
      </x:c>
      <x:c r="D725" s="5" t="str">
        <x:v>https://uland.taobao.com/item/edetail?id=p8pgWdKsxt6wyjyMeRuDpC6Cm-xjJNVMCOM5QWQZrt4Y</x:v>
      </x:c>
      <x:c r="E725" s="5" t="str">
        <x:v>uland.taobao.com</x:v>
      </x:c>
      <x:c r="F725" s="5" t="str">
        <x:v>电商</x:v>
      </x:c>
      <x:c r="G725" s="5" t="str">
        <x:v>是</x:v>
      </x:c>
      <x:c r="H725" s="5" t="str">
        <x:v>怡可纳</x:v>
      </x:c>
      <x:c r="I725" s="5" t="str">
        <x:v>主动</x:v>
      </x:c>
      <x:c r="J725" s="5" t="str">
        <x:v>未核实</x:v>
      </x:c>
    </x:row>
    <x:row r="726" ht="27" customHeight="1">
      <x:c r="A726" s="5" t="str">
        <x:v>元宝</x:v>
      </x:c>
      <x:c r="B726" s="5" t="str">
        <x:v>Q19</x:v>
      </x:c>
      <x:c r="C726" s="5" t="str">
        <x:v>酵母粉的热量和营养信息</x:v>
      </x:c>
      <x:c r="D726" s="5" t="str">
        <x:v>https://www.fatsecret.cn/%E7%83%AD%E9%87%8F%E8%90%A5%E5%85%BB/search?q=%E9%85%B5%E6%AF%8D%E7%B2%89</x:v>
      </x:c>
      <x:c r="E726" s="5" t="str">
        <x:v>fatsecret.cn</x:v>
      </x:c>
      <x:c r="F726" s="5" t="str">
        <x:v>其他网页</x:v>
      </x:c>
      <x:c r="G726" s="5" t="str">
        <x:v>是</x:v>
      </x:c>
      <x:c r="H726" s="5" t="str">
        <x:v>怡可纳</x:v>
      </x:c>
      <x:c r="I726" s="5" t="str">
        <x:v>主动</x:v>
      </x:c>
      <x:c r="J726" s="5" t="str">
        <x:v>未核实</x:v>
      </x:c>
    </x:row>
    <x:row r="727" ht="27" customHeight="1">
      <x:c r="A727" s="5" t="str">
        <x:v>元宝</x:v>
      </x:c>
      <x:c r="B727" s="5" t="str">
        <x:v>Q19</x:v>
      </x:c>
      <x:c r="C727" s="5" t="str">
        <x:v>认识酵母蛋白:第三类优质蛋白原料</x:v>
      </x:c>
      <x:c r="D727" s="5" t="str">
        <x:v>http://mp.weixin.qq.com/s?src=11&amp;timestamp=1790581287&amp;ver=6993&amp;signature=hO3ZDCqQ8457-uKyKVSGJyhdhCw3t89AVGsJGBLPm--fZOVM6BW0roGG*FrFzwlDnF3sqr*mjBLqpvZFOAb8p-2AXcla*FoWtx3P2BMqaGNBg6rdP0mCOd4rhcDj8Lqw&amp;new=1</x:v>
      </x:c>
      <x:c r="E727" s="5" t="str">
        <x:v>mp.weixin.qq.com</x:v>
      </x:c>
      <x:c r="F727" s="5" t="str">
        <x:v>UGC/视频/公众号</x:v>
      </x:c>
      <x:c r="G727" s="5" t="str">
        <x:v>是</x:v>
      </x:c>
      <x:c r="H727" s="5" t="str">
        <x:v>怡可纳</x:v>
      </x:c>
      <x:c r="I727" s="5" t="str">
        <x:v>主动</x:v>
      </x:c>
      <x:c r="J727" s="5" t="str">
        <x:v>未核实</x:v>
      </x:c>
    </x:row>
    <x:row r="728" ht="27" customHeight="1">
      <x:c r="A728" s="5" t="str">
        <x:v>元宝</x:v>
      </x:c>
      <x:c r="B728" s="5" t="str">
        <x:v>Q19</x:v>
      </x:c>
      <x:c r="C728" s="5" t="str">
        <x:v>怡可纳酵母蛋白 - 淘宝精选</x:v>
      </x:c>
      <x:c r="D728" s="5" t="str">
        <x:v>https://uland.taobao.com/item/edetail?id=rbQZrQotOtVm2eX2ReHM5urCZ-NPvjWDCnDkqjzygcG&amp;skuId=6046348095557</x:v>
      </x:c>
      <x:c r="E728" s="5" t="str">
        <x:v>uland.taobao.com</x:v>
      </x:c>
      <x:c r="F728" s="5" t="str">
        <x:v>电商</x:v>
      </x:c>
      <x:c r="G728" s="5" t="str">
        <x:v>是</x:v>
      </x:c>
      <x:c r="H728" s="5" t="str">
        <x:v>怡可纳</x:v>
      </x:c>
      <x:c r="I728" s="5" t="str">
        <x:v>主动</x:v>
      </x:c>
      <x:c r="J728" s="5" t="str">
        <x:v>未核实</x:v>
      </x:c>
    </x:row>
    <x:row r="729" ht="27" customHeight="1">
      <x:c r="A729" s="5" t="str">
        <x:v>元宝</x:v>
      </x:c>
      <x:c r="B729" s="5" t="str">
        <x:v>Q19</x:v>
      </x:c>
      <x:c r="C729" s="5" t="str">
        <x:v>商品怡可纳 酵母蛋白粉 71%蛋白质 花生可可味 2.27kg摇摇杯</x:v>
      </x:c>
      <x:c r="D729" s="5" t="str">
        <x:v>https://wiki.smzdm.com/p/6pqmepd/</x:v>
      </x:c>
      <x:c r="E729" s="5" t="str">
        <x:v>wiki.smzdm.com</x:v>
      </x:c>
      <x:c r="F729" s="5" t="str">
        <x:v>UGC/视频/公众号</x:v>
      </x:c>
      <x:c r="G729" s="5" t="str">
        <x:v>是</x:v>
      </x:c>
      <x:c r="H729" s="5" t="str">
        <x:v>怡可纳</x:v>
      </x:c>
      <x:c r="I729" s="5" t="str">
        <x:v>主动</x:v>
      </x:c>
      <x:c r="J729" s="5" t="str">
        <x:v>未核实</x:v>
      </x:c>
    </x:row>
    <x:row r="730" ht="27" customHeight="1">
      <x:c r="A730" s="5" t="str">
        <x:v>元宝</x:v>
      </x:c>
      <x:c r="B730" s="5" t="str">
        <x:v>Q19</x:v>
      </x:c>
      <x:c r="C730" s="5" t="str">
        <x:v>酵母蛋白入列固体饮料新国标,微生物蛋白赛道加速扩容</x:v>
      </x:c>
      <x:c r="D730" s="5" t="str">
        <x:v>https://www.sjgle.com/article/article_id/150250.html</x:v>
      </x:c>
      <x:c r="E730" s="5" t="str">
        <x:v>sjgle.com</x:v>
      </x:c>
      <x:c r="F730" s="5" t="str">
        <x:v>其他网页</x:v>
      </x:c>
      <x:c r="G730" s="5" t="str">
        <x:v>是</x:v>
      </x:c>
      <x:c r="H730" s="5" t="str">
        <x:v>怡可纳</x:v>
      </x:c>
      <x:c r="I730" s="5" t="str">
        <x:v>主动</x:v>
      </x:c>
      <x:c r="J730" s="5" t="str">
        <x:v>未核实</x:v>
      </x:c>
    </x:row>
    <x:row r="731" ht="27" customHeight="1">
      <x:c r="A731" s="5" t="str">
        <x:v>元宝</x:v>
      </x:c>
      <x:c r="B731" s="5" t="str">
        <x:v>Q19</x:v>
      </x:c>
      <x:c r="C731" s="5" t="str">
        <x:v>怡可纳酵母蛋白 - 京东</x:v>
      </x:c>
      <x:c r="D731" s="5" t="str">
        <x:v>https://union-click.jd.com/jdc?e=&amp;p=JF8BAS4JK1olWAYEXFlVDk4XAV8IGlgXXAIBV1hbD04VBF9MRANLAjZbERscSkAJHTdNTwcKBlMdBgABFksWAG0JH1gWWwAFUVxaFxJSXzI4Sy5KC0NbPAE-aRtIQAdjXRJwVEVhJFJROE8RAGkMGloUXjYCVV9cCUIfCmcKK18TMwdsVFdYZhxABG1cSVkVD1ULUl8OWxknA244WjUVXAIEUF5eDHsWM28OE1oRVAYBXVhdAUMnA2cMK4y889CO8orkopylgV84K1glbTYCZF1tViUWBGpdSQhHCGheEAQUT01MSgEKHVscXQ8LU25fCUoVAV84KzBtOGUHN1gpTxxfBQwPSD9NLXNaUj1aQRFxXjRPfjUXKHFSFhdUAStzWChwbB9rJWMyVG5eDkMeAV8JKw</x:v>
      </x:c>
      <x:c r="E731" s="5" t="str">
        <x:v>union-click.jd.com</x:v>
      </x:c>
      <x:c r="F731" s="5" t="str">
        <x:v>电商</x:v>
      </x:c>
      <x:c r="G731" s="5" t="str">
        <x:v>是</x:v>
      </x:c>
      <x:c r="H731" s="5" t="str">
        <x:v>怡可纳</x:v>
      </x:c>
      <x:c r="I731" s="5" t="str">
        <x:v>主动</x:v>
      </x:c>
      <x:c r="J731" s="5" t="str">
        <x:v>未核实</x:v>
      </x:c>
    </x:row>
    <x:row r="732" ht="27" customHeight="1">
      <x:c r="A732" s="5" t="str">
        <x:v>元宝</x:v>
      </x:c>
      <x:c r="B732" s="5" t="str">
        <x:v>Q19</x:v>
      </x:c>
      <x:c r="C732" s="5" t="str">
        <x:v>市面上常见蛋白粉种类分析报告</x:v>
      </x:c>
      <x:c r="D732" s="5" t="str">
        <x:v>https://post.m.smzdm.com/p/avd8qxv4/</x:v>
      </x:c>
      <x:c r="E732" s="5" t="str">
        <x:v>post.m.smzdm.com</x:v>
      </x:c>
      <x:c r="F732" s="5" t="str">
        <x:v>UGC/视频/公众号</x:v>
      </x:c>
      <x:c r="G732" s="5" t="str">
        <x:v>是</x:v>
      </x:c>
      <x:c r="H732" s="5" t="str">
        <x:v>怡可纳</x:v>
      </x:c>
      <x:c r="I732" s="5" t="str">
        <x:v>主动</x:v>
      </x:c>
      <x:c r="J732" s="5" t="str">
        <x:v>未核实</x:v>
      </x:c>
    </x:row>
    <x:row r="733" ht="27" customHeight="1">
      <x:c r="A733" s="5" t="str">
        <x:v>元宝</x:v>
      </x:c>
      <x:c r="B733" s="5" t="str">
        <x:v>Q19</x:v>
      </x:c>
      <x:c r="C733" s="5" t="str">
        <x:v>安琪AnPro</x:v>
      </x:c>
      <x:c r="D733" s="5" t="str">
        <x:v>https://baike.baidu.com/item/%E5%AE%89%E7%90%AAAnPro/65007547</x:v>
      </x:c>
      <x:c r="E733" s="5" t="str">
        <x:v>baike.baidu.com</x:v>
      </x:c>
      <x:c r="F733" s="5" t="str">
        <x:v>百科</x:v>
      </x:c>
      <x:c r="G733" s="5" t="str">
        <x:v>是</x:v>
      </x:c>
      <x:c r="H733" s="5" t="str">
        <x:v>怡可纳</x:v>
      </x:c>
      <x:c r="I733" s="5" t="str">
        <x:v>主动</x:v>
      </x:c>
      <x:c r="J733" s="5" t="str">
        <x:v>未核实</x:v>
      </x:c>
    </x:row>
    <x:row r="734" ht="27" customHeight="1">
      <x:c r="A734" s="5" t="str">
        <x:v>元宝</x:v>
      </x:c>
      <x:c r="B734" s="5" t="str">
        <x:v>Q19</x:v>
      </x:c>
      <x:c r="C734" s="5" t="str">
        <x:v>怡可纳酵母蛋白粉</x:v>
      </x:c>
      <x:c r="D734" s="5" t="str">
        <x:v>https://pages.baidu.com/show?id=409ea0dca4846adb4366498e</x:v>
      </x:c>
      <x:c r="E734" s="5" t="str">
        <x:v>pages.baidu.com</x:v>
      </x:c>
      <x:c r="F734" s="5" t="str">
        <x:v>其他网页</x:v>
      </x:c>
      <x:c r="G734" s="5" t="str">
        <x:v>是</x:v>
      </x:c>
      <x:c r="H734" s="5" t="str">
        <x:v>怡可纳</x:v>
      </x:c>
      <x:c r="I734" s="5" t="str">
        <x:v>主动</x:v>
      </x:c>
      <x:c r="J734" s="5" t="str">
        <x:v>未核实</x:v>
      </x:c>
    </x:row>
    <x:row r="735" ht="27" customHeight="1">
      <x:c r="A735" s="5" t="str">
        <x:v>元宝</x:v>
      </x:c>
      <x:c r="B735" s="5" t="str">
        <x:v>Q19</x:v>
      </x:c>
      <x:c r="C735" s="5" t="str">
        <x:v>酵母蛋白粉</x:v>
      </x:c>
      <x:c r="D735" s="5" t="str">
        <x:v>https://www.fatsecret.cn/%E7%83%AD%E9%87%8F%E8%90%A5%E5%85%BB/%E6%80%A1%E5%8F%AF%E7%BA%B3/%E9%85%B5%E6%AF%8D%E8%9B%8B%E7%99%BD%E7%B2%89/100%E5%85%8B</x:v>
      </x:c>
      <x:c r="E735" s="5" t="str">
        <x:v>fatsecret.cn</x:v>
      </x:c>
      <x:c r="F735" s="5" t="str">
        <x:v>其他网页</x:v>
      </x:c>
      <x:c r="G735" s="5" t="str">
        <x:v>是</x:v>
      </x:c>
      <x:c r="H735" s="5" t="str">
        <x:v>怡可纳</x:v>
      </x:c>
      <x:c r="I735" s="5" t="str">
        <x:v>主动</x:v>
      </x:c>
      <x:c r="J735" s="5" t="str">
        <x:v>未核实</x:v>
      </x:c>
    </x:row>
    <x:row r="736" ht="27" customHeight="1">
      <x:c r="A736" s="5" t="str">
        <x:v>元宝</x:v>
      </x:c>
      <x:c r="B736" s="5" t="str">
        <x:v>Q19</x:v>
      </x:c>
      <x:c r="C736" s="5" t="str">
        <x:v>一文读懂酵母蛋白7大核心问答:非转基因､低嘌呤､PDCAAS1.0,优质完全蛋白全解析</x:v>
      </x:c>
      <x:c r="D736" s="5" t="str">
        <x:v>https://www.angelyeast.com/info/1755.html</x:v>
      </x:c>
      <x:c r="E736" s="5" t="str">
        <x:v>angelyeast.com</x:v>
      </x:c>
      <x:c r="F736" s="5" t="str">
        <x:v>企业官网</x:v>
      </x:c>
      <x:c r="G736" s="5" t="str">
        <x:v>是</x:v>
      </x:c>
      <x:c r="H736" s="5" t="str">
        <x:v>怡可纳</x:v>
      </x:c>
      <x:c r="I736" s="5" t="str">
        <x:v>主动</x:v>
      </x:c>
      <x:c r="J736" s="5" t="str">
        <x:v>2026-07-24（页面）</x:v>
      </x:c>
    </x:row>
    <x:row r="737" ht="27" customHeight="1">
      <x:c r="A737" s="5" t="str">
        <x:v>元宝</x:v>
      </x:c>
      <x:c r="B737" s="5" t="str">
        <x:v>Q19</x:v>
      </x:c>
      <x:c r="C737" s="5" t="str">
        <x:v>补剂大作战 7.14好价</x:v>
      </x:c>
      <x:c r="D737" s="5" t="str">
        <x:v>http://mp.weixin.qq.com/s?src=11&amp;timestamp=1790581287&amp;ver=6993&amp;signature=nZM1W81beoV3v3rEXMPjj6o33DjGPUpW4f9Cp1l63IFoUgp2ByAsFKb6lzBEFUDml0bUDk7w-5wIx7UfkJu5hEmG*UMWiF5MPwXQElJ2RmEQE3ry48Qeggj1OpVvc4U9&amp;new=1</x:v>
      </x:c>
      <x:c r="E737" s="5" t="str">
        <x:v>mp.weixin.qq.com</x:v>
      </x:c>
      <x:c r="F737" s="5" t="str">
        <x:v>UGC/视频/公众号</x:v>
      </x:c>
      <x:c r="G737" s="5" t="str">
        <x:v>是</x:v>
      </x:c>
      <x:c r="H737" s="5" t="str">
        <x:v>怡可纳</x:v>
      </x:c>
      <x:c r="I737" s="5" t="str">
        <x:v>主动</x:v>
      </x:c>
      <x:c r="J737" s="5" t="str">
        <x:v>未核实</x:v>
      </x:c>
    </x:row>
    <x:row r="738" ht="27" customHeight="1">
      <x:c r="A738" s="5" t="str">
        <x:v>元宝</x:v>
      </x:c>
      <x:c r="B738" s="5" t="str">
        <x:v>Q19</x:v>
      </x:c>
      <x:c r="C738" s="5" t="str">
        <x:v>乳糖不耐受也能狂增肌?怡可纳蛋白粉实测真相了</x:v>
      </x:c>
      <x:c r="D738" s="5" t="str">
        <x:v>http://mp.weixin.qq.com/s?__biz=MzkyMTcxMDMzMA==&amp;mid=2247483674&amp;idx=1&amp;sn=55801b6a24a241b2ee57fb85b0754a26&amp;chksm=c01c8347f572d7b8ecc9bad116684bca86541e28da8bb78ea322099b2d70087896b007c9a961#rd</x:v>
      </x:c>
      <x:c r="E738" s="5" t="str">
        <x:v>mp.weixin.qq.com</x:v>
      </x:c>
      <x:c r="F738" s="5" t="str">
        <x:v>UGC/视频/公众号</x:v>
      </x:c>
      <x:c r="G738" s="5" t="str">
        <x:v>是</x:v>
      </x:c>
      <x:c r="H738" s="5" t="str">
        <x:v>怡可纳</x:v>
      </x:c>
      <x:c r="I738" s="5" t="str">
        <x:v>主动</x:v>
      </x:c>
      <x:c r="J738" s="5" t="str">
        <x:v>未核实</x:v>
      </x:c>
    </x:row>
    <x:row r="739" ht="27" customHeight="1">
      <x:c r="A739" s="5" t="str">
        <x:v>元宝</x:v>
      </x:c>
      <x:c r="B739" s="5" t="str">
        <x:v>Q19</x:v>
      </x:c>
      <x:c r="C739" s="5" t="str">
        <x:v>宜昌“微”力量撬动营养新赛道 安琪酵母蛋白“入编”新国标</x:v>
      </x:c>
      <x:c r="D739" s="5" t="str">
        <x:v>http://gzw.yichang.gov.cn/content-40899-17845-1.html</x:v>
      </x:c>
      <x:c r="E739" s="5" t="str">
        <x:v>gzw.yichang.gov.cn</x:v>
      </x:c>
      <x:c r="F739" s="5" t="str">
        <x:v>官方机构</x:v>
      </x:c>
      <x:c r="G739" s="5" t="str">
        <x:v>是</x:v>
      </x:c>
      <x:c r="H739" s="5" t="str">
        <x:v>怡可纳</x:v>
      </x:c>
      <x:c r="I739" s="5" t="str">
        <x:v>主动</x:v>
      </x:c>
      <x:c r="J739" s="5" t="str">
        <x:v>未核实</x:v>
      </x:c>
    </x:row>
    <x:row r="740" ht="27" customHeight="1">
      <x:c r="A740" s="5" t="str">
        <x:v>元宝</x:v>
      </x:c>
      <x:c r="B740" s="5" t="str">
        <x:v>Q19</x:v>
      </x:c>
      <x:c r="C740" s="5" t="str">
        <x:v>乳糖不耐受终于能喝蛋白粉了?酵母蛋白真实评测:不胀气是真还是噱头</x:v>
      </x:c>
      <x:c r="D740" s="5" t="str">
        <x:v>https://post.smzdm.com/p/a6zozzxg</x:v>
      </x:c>
      <x:c r="E740" s="5" t="str">
        <x:v>post.smzdm.com</x:v>
      </x:c>
      <x:c r="F740" s="5" t="str">
        <x:v>UGC/视频/公众号</x:v>
      </x:c>
      <x:c r="G740" s="5" t="str">
        <x:v>是</x:v>
      </x:c>
      <x:c r="H740" s="5" t="str">
        <x:v>怡可纳</x:v>
      </x:c>
      <x:c r="I740" s="5" t="str">
        <x:v>主动</x:v>
      </x:c>
      <x:c r="J740" s="5" t="str">
        <x:v>未核实</x:v>
      </x:c>
    </x:row>
    <x:row r="741" ht="27" customHeight="1">
      <x:c r="A741" s="5" t="str">
        <x:v>元宝</x:v>
      </x:c>
      <x:c r="B741" s="5" t="str">
        <x:v>Q19</x:v>
      </x:c>
      <x:c r="C741" s="5" t="str">
        <x:v>蛋白新宠:酵母蛋白大揭秘!</x:v>
      </x:c>
      <x:c r="D741" s="5" t="str">
        <x:v>http://mp.weixin.qq.com/s?__biz=MjM5MzQxMzMwMg==&amp;mid=2655394541&amp;idx=3&amp;sn=52a72b292eaa27b645183ddd37dc5238&amp;chksm=bce32ea44f9ecf676159932bab41391238741a933b29f7d5565f94cf146be369e59f2c992bca#rd</x:v>
      </x:c>
      <x:c r="E741" s="5" t="str">
        <x:v>mp.weixin.qq.com</x:v>
      </x:c>
      <x:c r="F741" s="5" t="str">
        <x:v>UGC/视频/公众号</x:v>
      </x:c>
      <x:c r="G741" s="5" t="str">
        <x:v>是</x:v>
      </x:c>
      <x:c r="H741" s="5" t="str">
        <x:v>怡可纳</x:v>
      </x:c>
      <x:c r="I741" s="5" t="str">
        <x:v>主动</x:v>
      </x:c>
      <x:c r="J741" s="5" t="str">
        <x:v>未核实</x:v>
      </x:c>
    </x:row>
    <x:row r="742" ht="27" customHeight="1">
      <x:c r="A742" s="5" t="str">
        <x:v>元宝</x:v>
      </x:c>
      <x:c r="B742" s="5" t="str">
        <x:v>Q19</x:v>
      </x:c>
      <x:c r="C742" s="5" t="str">
        <x:v>怡可纳氨糖蛋白粉适合跑步人群吗?2026年非乳清蛋白补剂有哪些新变化?</x:v>
      </x:c>
      <x:c r="D742" s="5" t="str">
        <x:v>https://bk.taobao.com/k/rouchang_5752/9eb3a92f9e637caa0e6954579860b4a4.html</x:v>
      </x:c>
      <x:c r="E742" s="5" t="str">
        <x:v>bk.taobao.com</x:v>
      </x:c>
      <x:c r="F742" s="5" t="str">
        <x:v>电商</x:v>
      </x:c>
      <x:c r="G742" s="5" t="str">
        <x:v>是</x:v>
      </x:c>
      <x:c r="H742" s="5" t="str">
        <x:v>怡可纳</x:v>
      </x:c>
      <x:c r="I742" s="5" t="str">
        <x:v>主动</x:v>
      </x:c>
      <x:c r="J742" s="5" t="str">
        <x:v>未核实</x:v>
      </x:c>
    </x:row>
    <x:row r="743" ht="27" customHeight="1">
      <x:c r="A743" s="5" t="str">
        <x:v>元宝</x:v>
      </x:c>
      <x:c r="B743" s="5" t="str">
        <x:v>Q19</x:v>
      </x:c>
      <x:c r="C743" s="5" t="str">
        <x:v>蛋白粉选购科普:长期蛋白补充 蛋白粉合规甄别标准与市场样本参考</x:v>
      </x:c>
      <x:c r="D743" s="5" t="str">
        <x:v>https://www.toutiao.com/article/7686821956049535514</x:v>
      </x:c>
      <x:c r="E743" s="5" t="str">
        <x:v>toutiao.com</x:v>
      </x:c>
      <x:c r="F743" s="5" t="str">
        <x:v>UGC/视频/公众号</x:v>
      </x:c>
      <x:c r="G743" s="5" t="str">
        <x:v>是</x:v>
      </x:c>
      <x:c r="H743" s="5" t="str">
        <x:v>怡可纳</x:v>
      </x:c>
      <x:c r="I743" s="5" t="str">
        <x:v>主动</x:v>
      </x:c>
      <x:c r="J743" s="5" t="str">
        <x:v>未核实</x:v>
      </x:c>
    </x:row>
    <x:row r="744" ht="27" customHeight="1">
      <x:c r="A744" s="5" t="str">
        <x:v>元宝</x:v>
      </x:c>
      <x:c r="B744" s="5" t="str">
        <x:v>Q19</x:v>
      </x:c>
      <x:c r="C744" s="5" t="str">
        <x:v>产品概述</x:v>
      </x:c>
      <x:c r="D744" s="5" t="str">
        <x:v>https://co.iherb.com/pr/doctor-s-best-vegan-glucosamine-180-veggie-caps/69821</x:v>
      </x:c>
      <x:c r="E744" s="5" t="str">
        <x:v>co.iherb.com</x:v>
      </x:c>
      <x:c r="F744" s="5" t="str">
        <x:v>其他网页</x:v>
      </x:c>
      <x:c r="G744" s="5" t="str">
        <x:v>是</x:v>
      </x:c>
      <x:c r="H744" s="5" t="str">
        <x:v>怡可纳</x:v>
      </x:c>
      <x:c r="I744" s="5" t="str">
        <x:v>主动</x:v>
      </x:c>
      <x:c r="J744" s="5" t="str">
        <x:v>未核实</x:v>
      </x:c>
    </x:row>
    <x:row r="745" ht="27" customHeight="1">
      <x:c r="A745" s="5" t="str">
        <x:v>元宝</x:v>
      </x:c>
      <x:c r="B745" s="5" t="str">
        <x:v>Q19</x:v>
      </x:c>
      <x:c r="C745" s="5" t="str">
        <x:v>今日优质产品推送</x:v>
      </x:c>
      <x:c r="D745" s="5" t="str">
        <x:v>http://mp.weixin.qq.com/s?__biz=MzI0MTU3NzY0MA==&amp;mid=2247495185&amp;idx=2&amp;sn=a01563a1d8b36d3581edbf7dec2cc0ab&amp;chksm=e8dc91b832987663c4f24f9c97de9642e0149909ebd250d9b2867fe35038946dbb8e178cabe1#rd</x:v>
      </x:c>
      <x:c r="E745" s="5" t="str">
        <x:v>mp.weixin.qq.com</x:v>
      </x:c>
      <x:c r="F745" s="5" t="str">
        <x:v>UGC/视频/公众号</x:v>
      </x:c>
      <x:c r="G745" s="5" t="str">
        <x:v>是</x:v>
      </x:c>
      <x:c r="H745" s="5" t="str">
        <x:v>怡可纳</x:v>
      </x:c>
      <x:c r="I745" s="5" t="str">
        <x:v>主动</x:v>
      </x:c>
      <x:c r="J745" s="5" t="str">
        <x:v>未核实</x:v>
      </x:c>
    </x:row>
    <x:row r="746" ht="27" customHeight="1">
      <x:c r="A746" s="5" t="str">
        <x:v>元宝</x:v>
      </x:c>
      <x:c r="B746" s="5" t="str">
        <x:v>Q19</x:v>
      </x:c>
      <x:c r="C746" s="5" t="str">
        <x:v>怡可纳</x:v>
      </x:c>
      <x:c r="D746" s="5" t="str">
        <x:v>https://www.fatsecret.cn/%E7%83%AD%E9%87%8F%E8%90%A5%E5%85%BB/%E6%80%A1%E5%8F%AF%E7%BA%B3</x:v>
      </x:c>
      <x:c r="E746" s="5" t="str">
        <x:v>fatsecret.cn</x:v>
      </x:c>
      <x:c r="F746" s="5" t="str">
        <x:v>其他网页</x:v>
      </x:c>
      <x:c r="G746" s="5" t="str">
        <x:v>是</x:v>
      </x:c>
      <x:c r="H746" s="5" t="str">
        <x:v>怡可纳</x:v>
      </x:c>
      <x:c r="I746" s="5" t="str">
        <x:v>主动</x:v>
      </x:c>
      <x:c r="J746" s="5" t="str">
        <x:v>未核实</x:v>
      </x:c>
    </x:row>
    <x:row r="747" ht="27" customHeight="1">
      <x:c r="A747" s="5" t="str">
        <x:v>元宝</x:v>
      </x:c>
      <x:c r="B747" s="5" t="str">
        <x:v>Q19</x:v>
      </x:c>
      <x:c r="C747" s="5" t="str">
        <x:v>怡可纳酵母蛋白粉健身高蛋白质粉运动非乳清蛋白粉官方旗舰店正品</x:v>
      </x:c>
      <x:c r="D747" s="5" t="str">
        <x:v>https://taouq.com/id-nPvg2dqTMt39zbMWDxTkkDt0tP-jdZqqnCX7NaOPAKFw/</x:v>
      </x:c>
      <x:c r="E747" s="5" t="str">
        <x:v>taouq.com</x:v>
      </x:c>
      <x:c r="F747" s="5" t="str">
        <x:v>其他网页</x:v>
      </x:c>
      <x:c r="G747" s="5" t="str">
        <x:v>是</x:v>
      </x:c>
      <x:c r="H747" s="5" t="str">
        <x:v>怡可纳</x:v>
      </x:c>
      <x:c r="I747" s="5" t="str">
        <x:v>主动</x:v>
      </x:c>
      <x:c r="J747" s="5" t="str">
        <x:v>未核实</x:v>
      </x:c>
    </x:row>
    <x:row r="748" ht="27" customHeight="1">
      <x:c r="A748" s="5" t="str">
        <x:v>元宝</x:v>
      </x:c>
      <x:c r="B748" s="5" t="str">
        <x:v>Q19</x:v>
      </x:c>
      <x:c r="C748" s="5" t="str">
        <x:v>产品概述</x:v>
      </x:c>
      <x:c r="D748" s="5" t="str">
        <x:v>https://np.iherb.com/pr/kos-organic-luminous-blue-spirulina-powder-1-4-oz-40-g/106728</x:v>
      </x:c>
      <x:c r="E748" s="5" t="str">
        <x:v>np.iherb.com</x:v>
      </x:c>
      <x:c r="F748" s="5" t="str">
        <x:v>其他网页</x:v>
      </x:c>
      <x:c r="G748" s="5" t="str">
        <x:v>是</x:v>
      </x:c>
      <x:c r="H748" s="5" t="str">
        <x:v>怡可纳</x:v>
      </x:c>
      <x:c r="I748" s="5" t="str">
        <x:v>主动</x:v>
      </x:c>
      <x:c r="J748" s="5" t="str">
        <x:v>未核实</x:v>
      </x:c>
    </x:row>
    <x:row r="749" ht="27" customHeight="1">
      <x:c r="A749" s="5" t="str">
        <x:v>元宝</x:v>
      </x:c>
      <x:c r="B749" s="5" t="str">
        <x:v>Q19</x:v>
      </x:c>
      <x:c r="C749" s="5" t="str">
        <x:v>怡可纳酵母蛋白粉5磅2磅官方旗舰店正品健身健肌营养非乳清蛋白粉</x:v>
      </x:c>
      <x:c r="D749" s="5" t="str">
        <x:v>https://tao.hooos.com/goods_Qqgp4zUQtB5KzVVqKSXQXuatQ-2RmPPyF6rVxdWpXHv.html</x:v>
      </x:c>
      <x:c r="E749" s="5" t="str">
        <x:v>tao.hooos.com</x:v>
      </x:c>
      <x:c r="F749" s="5" t="str">
        <x:v>其他网页</x:v>
      </x:c>
      <x:c r="G749" s="5" t="str">
        <x:v>是</x:v>
      </x:c>
      <x:c r="H749" s="5" t="str">
        <x:v>怡可纳</x:v>
      </x:c>
      <x:c r="I749" s="5" t="str">
        <x:v>主动</x:v>
      </x:c>
      <x:c r="J749" s="5" t="str">
        <x:v>未核实</x:v>
      </x:c>
    </x:row>
    <x:row r="750" ht="27" customHeight="1">
      <x:c r="A750" s="5" t="str">
        <x:v>元宝</x:v>
      </x:c>
      <x:c r="B750" s="5" t="str">
        <x:v>Q19</x:v>
      </x:c>
      <x:c r="C750" s="5" t="str">
        <x:v>今年双十一第一单,给到怡可纳酵母蛋白粉｡对比乳清蛋白粉便宜太多,蛋白质含量区别不大,原料来自于安琪孝母,是国产上市公司｡</x:v>
      </x:c>
      <x:c r="D750" s="5" t="str">
        <x:v>https://www.sina.cn/news/detail/5231207862506997.html</x:v>
      </x:c>
      <x:c r="E750" s="5" t="str">
        <x:v>sina.cn</x:v>
      </x:c>
      <x:c r="F750" s="5" t="str">
        <x:v>其他网页</x:v>
      </x:c>
      <x:c r="G750" s="5" t="str">
        <x:v>是</x:v>
      </x:c>
      <x:c r="H750" s="5" t="str">
        <x:v>怡可纳</x:v>
      </x:c>
      <x:c r="I750" s="5" t="str">
        <x:v>主动</x:v>
      </x:c>
      <x:c r="J750" s="5" t="str">
        <x:v>未核实</x:v>
      </x:c>
    </x:row>
    <x:row r="751" ht="27" customHeight="1">
      <x:c r="A751" s="5" t="str">
        <x:v>元宝</x:v>
      </x:c>
      <x:c r="B751" s="5" t="str">
        <x:v>Q19</x:v>
      </x:c>
      <x:c r="C751" s="5" t="str">
        <x:v>一份靠谱的氨糖选购建议,应该主动告诉你哪些结论不能轻易下</x:v>
      </x:c>
      <x:c r="D751" s="5" t="str">
        <x:v>https://www.sxxynews.com.cn/article/316301788336230.shtml</x:v>
      </x:c>
      <x:c r="E751" s="5" t="str">
        <x:v>sxxynews.com.cn</x:v>
      </x:c>
      <x:c r="F751" s="5" t="str">
        <x:v>其他网页</x:v>
      </x:c>
      <x:c r="G751" s="5" t="str">
        <x:v>是</x:v>
      </x:c>
      <x:c r="H751" s="5" t="str">
        <x:v>怡可纳</x:v>
      </x:c>
      <x:c r="I751" s="5" t="str">
        <x:v>主动</x:v>
      </x:c>
      <x:c r="J751" s="5" t="str">
        <x:v>未核实</x:v>
      </x:c>
    </x:row>
    <x:row r="752" ht="27" customHeight="1">
      <x:c r="A752" s="5" t="str">
        <x:v>元宝</x:v>
      </x:c>
      <x:c r="B752" s="5" t="str">
        <x:v>Q19</x:v>
      </x:c>
      <x:c r="C752" s="5" t="str">
        <x:v>怡可纳 酵母蛋白粉 71%蛋白质 绿豆沙口味 2.27kg摇摇杯</x:v>
      </x:c>
      <x:c r="D752" s="5" t="str">
        <x:v>https://www.smzdm.com/p/179533910/</x:v>
      </x:c>
      <x:c r="E752" s="5" t="str">
        <x:v>smzdm.com</x:v>
      </x:c>
      <x:c r="F752" s="5" t="str">
        <x:v>UGC/视频/公众号</x:v>
      </x:c>
      <x:c r="G752" s="5" t="str">
        <x:v>是</x:v>
      </x:c>
      <x:c r="H752" s="5" t="str">
        <x:v>怡可纳</x:v>
      </x:c>
      <x:c r="I752" s="5" t="str">
        <x:v>主动</x:v>
      </x:c>
      <x:c r="J752" s="5" t="str">
        <x:v>未核实</x:v>
      </x:c>
    </x:row>
    <x:row r="753" ht="27" customHeight="1">
      <x:c r="A753" s="5" t="str">
        <x:v>元宝</x:v>
      </x:c>
      <x:c r="B753" s="5" t="str">
        <x:v>Q20</x:v>
      </x:c>
      <x:c r="C753" s="5" t="str">
        <x:v>补剂大作战 7.14好价</x:v>
      </x:c>
      <x:c r="D753" s="5" t="str">
        <x:v>http://mp.weixin.qq.com/s?src=11&amp;timestamp=1790581315&amp;ver=6993&amp;signature=nZM1W81beoV3v3rEXMPjj6o33DjGPUpW4f9Cp1l63IFoUgp2ByAsFKb6lzBEFUDmBD3izO79KPiH5rwGQ7DHSTOOhlcuy-QagmbJCawy2DoJNQ3pJ*MYytf60v2g3nDX&amp;new=1</x:v>
      </x:c>
      <x:c r="E753" s="5" t="str">
        <x:v>mp.weixin.qq.com</x:v>
      </x:c>
      <x:c r="F753" s="5" t="str">
        <x:v>UGC/视频/公众号</x:v>
      </x:c>
      <x:c r="G753" s="5" t="str">
        <x:v>是</x:v>
      </x:c>
      <x:c r="H753" s="5" t="str">
        <x:v>怡可纳、汤臣倍健</x:v>
      </x:c>
      <x:c r="I753" s="5" t="str">
        <x:v>主动</x:v>
      </x:c>
      <x:c r="J753" s="5" t="str">
        <x:v>未核实</x:v>
      </x:c>
    </x:row>
    <x:row r="754" ht="27" customHeight="1">
      <x:c r="A754" s="5" t="str">
        <x:v>元宝</x:v>
      </x:c>
      <x:c r="B754" s="5" t="str">
        <x:v>Q20</x:v>
      </x:c>
      <x:c r="C754" s="5" t="str">
        <x:v>怡可纳蛋白粉 - 天猫精选</x:v>
      </x:c>
      <x:c r="D754" s="5" t="str">
        <x:v>https://s.click.taobao.com/t?e=m%3D2%26s%3DV94P00Aun9xw4vFB6t2Z2ueEDrYVVa64yK8Cckff7TVRAdhuF14FMUANQxy0pbNM1aH1Hk3GeOibBjBh3LodcDtMDMUFdHxsEga%2Bn4dNFSFW2RGh2%2FLyNYVwhIsr1DlAgb9ZeSZXs4rQ5thPdhAOVKJlKpAVa%2BCMZ1dxGqu8quIUo1FgkutceFKjGR06z74kNjwFhF%2BngnpNWEMO9Sfd9c7MnDRT%2BiAwbyt66VQbQpL06ZUwfAlYFA6jil%2FEfrmTbkoc5A4PXY5AWnuNX9%2FTvSYCeslw%2Fy30gHp1FTZO1rPGDF1NzTQoPw%3D%3D&amp;union_lens=lensId:TAPI@1790581266@21279cf8_149a_1a0e6f5d688_2996@01</x:v>
      </x:c>
      <x:c r="E754" s="5" t="str">
        <x:v>s.click.taobao.com</x:v>
      </x:c>
      <x:c r="F754" s="5" t="str">
        <x:v>电商</x:v>
      </x:c>
      <x:c r="G754" s="5" t="str">
        <x:v>是</x:v>
      </x:c>
      <x:c r="H754" s="5" t="str">
        <x:v>怡可纳、汤臣倍健</x:v>
      </x:c>
      <x:c r="I754" s="5" t="str">
        <x:v>主动</x:v>
      </x:c>
      <x:c r="J754" s="5" t="str">
        <x:v>未核实</x:v>
      </x:c>
    </x:row>
    <x:row r="755" ht="27" customHeight="1">
      <x:c r="A755" s="5" t="str">
        <x:v>元宝</x:v>
      </x:c>
      <x:c r="B755" s="5" t="str">
        <x:v>Q20</x:v>
      </x:c>
      <x:c r="C755" s="5" t="str">
        <x:v>怡可纳酵母蛋白粉</x:v>
      </x:c>
      <x:c r="D755" s="5" t="str">
        <x:v>https://pages.baidu.com/show?id=409ea0dca4846adb4366498e</x:v>
      </x:c>
      <x:c r="E755" s="5" t="str">
        <x:v>pages.baidu.com</x:v>
      </x:c>
      <x:c r="F755" s="5" t="str">
        <x:v>其他网页</x:v>
      </x:c>
      <x:c r="G755" s="5" t="str">
        <x:v>是</x:v>
      </x:c>
      <x:c r="H755" s="5" t="str">
        <x:v>怡可纳、汤臣倍健</x:v>
      </x:c>
      <x:c r="I755" s="5" t="str">
        <x:v>主动</x:v>
      </x:c>
      <x:c r="J755" s="5" t="str">
        <x:v>未核实</x:v>
      </x:c>
    </x:row>
    <x:row r="756" ht="27" customHeight="1">
      <x:c r="A756" s="5" t="str">
        <x:v>元宝</x:v>
      </x:c>
      <x:c r="B756" s="5" t="str">
        <x:v>Q20</x:v>
      </x:c>
      <x:c r="C756" s="5" t="str">
        <x:v>2026年蛋白粉好物推荐,无添加香精的蛋白粉哪个更安心,安全检测 - 今日头条</x:v>
      </x:c>
      <x:c r="D756" s="5" t="str">
        <x:v>https://m.toutiao.com/article/7686333575239336474</x:v>
      </x:c>
      <x:c r="E756" s="5" t="str">
        <x:v>toutiao.com</x:v>
      </x:c>
      <x:c r="F756" s="5" t="str">
        <x:v>UGC/视频/公众号</x:v>
      </x:c>
      <x:c r="G756" s="5" t="str">
        <x:v>是</x:v>
      </x:c>
      <x:c r="H756" s="5" t="str">
        <x:v>怡可纳、汤臣倍健</x:v>
      </x:c>
      <x:c r="I756" s="5" t="str">
        <x:v>主动</x:v>
      </x:c>
      <x:c r="J756" s="5" t="str">
        <x:v>未核实</x:v>
      </x:c>
    </x:row>
    <x:row r="757" ht="27" customHeight="1">
      <x:c r="A757" s="5" t="str">
        <x:v>元宝</x:v>
      </x:c>
      <x:c r="B757" s="5" t="str">
        <x:v>Q20</x:v>
      </x:c>
      <x:c r="C757" s="5" t="str">
        <x:v>怡可纳蛋白粉 - 淘宝精选</x:v>
      </x:c>
      <x:c r="D757" s="5" t="str">
        <x:v>https://uland.taobao.com/item/edetail?id=rbQZrQotOtVm2eX2ReHM5urCZ-NPvjWDCnDkqjzygcG</x:v>
      </x:c>
      <x:c r="E757" s="5" t="str">
        <x:v>uland.taobao.com</x:v>
      </x:c>
      <x:c r="F757" s="5" t="str">
        <x:v>电商</x:v>
      </x:c>
      <x:c r="G757" s="5" t="str">
        <x:v>是</x:v>
      </x:c>
      <x:c r="H757" s="5" t="str">
        <x:v>怡可纳、汤臣倍健</x:v>
      </x:c>
      <x:c r="I757" s="5" t="str">
        <x:v>主动</x:v>
      </x:c>
      <x:c r="J757" s="5" t="str">
        <x:v>未核实</x:v>
      </x:c>
    </x:row>
    <x:row r="758" ht="27" customHeight="1">
      <x:c r="A758" s="5" t="str">
        <x:v>元宝</x:v>
      </x:c>
      <x:c r="B758" s="5" t="str">
        <x:v>Q20</x:v>
      </x:c>
      <x:c r="C758" s="5" t="str">
        <x:v>服务焕新重新认识怡可纳</x:v>
      </x:c>
      <x:c r="D758" s="5" t="str">
        <x:v>http://mp.weixin.qq.com/s?__biz=MzU4OTgxMTMyMA==&amp;mid=2247484714&amp;idx=1&amp;sn=411276139a9b6fd1a1b868c8ddb83b72&amp;chksm=fc51ad73de293903205ff606c3c76d47e2af14351826e8fe0a1e67bd9be616cbb04c117cb0fc#rd</x:v>
      </x:c>
      <x:c r="E758" s="5" t="str">
        <x:v>mp.weixin.qq.com</x:v>
      </x:c>
      <x:c r="F758" s="5" t="str">
        <x:v>UGC/视频/公众号</x:v>
      </x:c>
      <x:c r="G758" s="5" t="str">
        <x:v>是</x:v>
      </x:c>
      <x:c r="H758" s="5" t="str">
        <x:v>怡可纳、汤臣倍健</x:v>
      </x:c>
      <x:c r="I758" s="5" t="str">
        <x:v>主动</x:v>
      </x:c>
      <x:c r="J758" s="5" t="str">
        <x:v>未核实</x:v>
      </x:c>
    </x:row>
    <x:row r="759" ht="27" customHeight="1">
      <x:c r="A759" s="5" t="str">
        <x:v>元宝</x:v>
      </x:c>
      <x:c r="B759" s="5" t="str">
        <x:v>Q20</x:v>
      </x:c>
      <x:c r="C759" s="5" t="str">
        <x:v>蛋白粉选购科普:长期蛋白补充 蛋白粉合规甄别标准与市场样本参考</x:v>
      </x:c>
      <x:c r="D759" s="5" t="str">
        <x:v>https://www.toutiao.com/article/7686821956049535514</x:v>
      </x:c>
      <x:c r="E759" s="5" t="str">
        <x:v>toutiao.com</x:v>
      </x:c>
      <x:c r="F759" s="5" t="str">
        <x:v>UGC/视频/公众号</x:v>
      </x:c>
      <x:c r="G759" s="5" t="str">
        <x:v>是</x:v>
      </x:c>
      <x:c r="H759" s="5" t="str">
        <x:v>怡可纳、汤臣倍健</x:v>
      </x:c>
      <x:c r="I759" s="5" t="str">
        <x:v>主动</x:v>
      </x:c>
      <x:c r="J759" s="5" t="str">
        <x:v>未核实</x:v>
      </x:c>
    </x:row>
    <x:row r="760" ht="27" customHeight="1">
      <x:c r="A760" s="5" t="str">
        <x:v>元宝</x:v>
      </x:c>
      <x:c r="B760" s="5" t="str">
        <x:v>Q20</x:v>
      </x:c>
      <x:c r="C760" s="5" t="str">
        <x:v>市面上常见蛋白粉种类分析报告</x:v>
      </x:c>
      <x:c r="D760" s="5" t="str">
        <x:v>https://post.m.smzdm.com/p/avd8qxv4/</x:v>
      </x:c>
      <x:c r="E760" s="5" t="str">
        <x:v>post.m.smzdm.com</x:v>
      </x:c>
      <x:c r="F760" s="5" t="str">
        <x:v>UGC/视频/公众号</x:v>
      </x:c>
      <x:c r="G760" s="5" t="str">
        <x:v>是</x:v>
      </x:c>
      <x:c r="H760" s="5" t="str">
        <x:v>怡可纳、汤臣倍健</x:v>
      </x:c>
      <x:c r="I760" s="5" t="str">
        <x:v>主动</x:v>
      </x:c>
      <x:c r="J760" s="5" t="str">
        <x:v>未核实</x:v>
      </x:c>
    </x:row>
    <x:row r="761" ht="27" customHeight="1">
      <x:c r="A761" s="5" t="str">
        <x:v>元宝</x:v>
      </x:c>
      <x:c r="B761" s="5" t="str">
        <x:v>Q20</x:v>
      </x:c>
      <x:c r="C761" s="5" t="str">
        <x:v>怡可纳氨糖蛋白粉适合跑步人群吗?2026年非乳清蛋白补剂有哪些新变化?</x:v>
      </x:c>
      <x:c r="D761" s="5" t="str">
        <x:v>https://bk.taobao.com/k/rouchang_5752/9eb3a92f9e637caa0e6954579860b4a4.html</x:v>
      </x:c>
      <x:c r="E761" s="5" t="str">
        <x:v>bk.taobao.com</x:v>
      </x:c>
      <x:c r="F761" s="5" t="str">
        <x:v>电商</x:v>
      </x:c>
      <x:c r="G761" s="5" t="str">
        <x:v>是</x:v>
      </x:c>
      <x:c r="H761" s="5" t="str">
        <x:v>怡可纳、汤臣倍健</x:v>
      </x:c>
      <x:c r="I761" s="5" t="str">
        <x:v>主动</x:v>
      </x:c>
      <x:c r="J761" s="5" t="str">
        <x:v>未核实</x:v>
      </x:c>
    </x:row>
    <x:row r="762" ht="27" customHeight="1">
      <x:c r="A762" s="5" t="str">
        <x:v>元宝</x:v>
      </x:c>
      <x:c r="B762" s="5" t="str">
        <x:v>Q20</x:v>
      </x:c>
      <x:c r="C762" s="5" t="str">
        <x:v>2026年蛋白粉销量清单,百元价位蛋白粉哪款能够闭眼入,好物盘点</x:v>
      </x:c>
      <x:c r="D762" s="5" t="str">
        <x:v>https://m.toutiao.com/article/7675915866752336424</x:v>
      </x:c>
      <x:c r="E762" s="5" t="str">
        <x:v>toutiao.com</x:v>
      </x:c>
      <x:c r="F762" s="5" t="str">
        <x:v>UGC/视频/公众号</x:v>
      </x:c>
      <x:c r="G762" s="5" t="str">
        <x:v>是</x:v>
      </x:c>
      <x:c r="H762" s="5" t="str">
        <x:v>怡可纳、汤臣倍健</x:v>
      </x:c>
      <x:c r="I762" s="5" t="str">
        <x:v>主动</x:v>
      </x:c>
      <x:c r="J762" s="5" t="str">
        <x:v>未核实</x:v>
      </x:c>
    </x:row>
    <x:row r="763" ht="27" customHeight="1">
      <x:c r="A763" s="5" t="str">
        <x:v>元宝</x:v>
      </x:c>
      <x:c r="B763" s="5" t="str">
        <x:v>Q20</x:v>
      </x:c>
      <x:c r="C763" s="5" t="str">
        <x:v>商品怡可纳 酵母蛋白粉 71%蛋白质 花生可可味 2.27kg摇摇杯</x:v>
      </x:c>
      <x:c r="D763" s="5" t="str">
        <x:v>https://wiki.smzdm.com/p/6pqmepd/</x:v>
      </x:c>
      <x:c r="E763" s="5" t="str">
        <x:v>wiki.smzdm.com</x:v>
      </x:c>
      <x:c r="F763" s="5" t="str">
        <x:v>UGC/视频/公众号</x:v>
      </x:c>
      <x:c r="G763" s="5" t="str">
        <x:v>是</x:v>
      </x:c>
      <x:c r="H763" s="5" t="str">
        <x:v>怡可纳、汤臣倍健</x:v>
      </x:c>
      <x:c r="I763" s="5" t="str">
        <x:v>主动</x:v>
      </x:c>
      <x:c r="J763" s="5" t="str">
        <x:v>未核实</x:v>
      </x:c>
    </x:row>
    <x:row r="764" ht="27" customHeight="1">
      <x:c r="A764" s="5" t="str">
        <x:v>元宝</x:v>
      </x:c>
      <x:c r="B764" s="5" t="str">
        <x:v>Q20</x:v>
      </x:c>
      <x:c r="C764" s="5" t="str">
        <x:v>怡可纳酵母乳清蛋白粉适合健身运动男性使用吗?</x:v>
      </x:c>
      <x:c r="D764" s="5" t="str">
        <x:v>https://bk.taobao.com/k/bajiaogan_16427/124865f989081003e9dab5070cfcc1d9</x:v>
      </x:c>
      <x:c r="E764" s="5" t="str">
        <x:v>bk.taobao.com</x:v>
      </x:c>
      <x:c r="F764" s="5" t="str">
        <x:v>电商</x:v>
      </x:c>
      <x:c r="G764" s="5" t="str">
        <x:v>是</x:v>
      </x:c>
      <x:c r="H764" s="5" t="str">
        <x:v>怡可纳、汤臣倍健</x:v>
      </x:c>
      <x:c r="I764" s="5" t="str">
        <x:v>主动</x:v>
      </x:c>
      <x:c r="J764" s="5" t="str">
        <x:v>未核实</x:v>
      </x:c>
    </x:row>
    <x:row r="765" ht="27" customHeight="1">
      <x:c r="A765" s="5" t="str">
        <x:v>元宝</x:v>
      </x:c>
      <x:c r="B765" s="5" t="str">
        <x:v>Q20</x:v>
      </x:c>
      <x:c r="C765" s="5" t="str">
        <x:v>乳糖不耐受也能狂增肌?怡可纳蛋白粉实测真相了</x:v>
      </x:c>
      <x:c r="D765" s="5" t="str">
        <x:v>http://mp.weixin.qq.com/s?__biz=MzkyMTcxMDMzMA==&amp;mid=2247483674&amp;idx=1&amp;sn=55801b6a24a241b2ee57fb85b0754a26&amp;chksm=c01c8347f572d7b8ecc9bad116684bca86541e28da8bb78ea322099b2d70087896b007c9a961#rd</x:v>
      </x:c>
      <x:c r="E765" s="5" t="str">
        <x:v>mp.weixin.qq.com</x:v>
      </x:c>
      <x:c r="F765" s="5" t="str">
        <x:v>UGC/视频/公众号</x:v>
      </x:c>
      <x:c r="G765" s="5" t="str">
        <x:v>是</x:v>
      </x:c>
      <x:c r="H765" s="5" t="str">
        <x:v>怡可纳、汤臣倍健</x:v>
      </x:c>
      <x:c r="I765" s="5" t="str">
        <x:v>主动</x:v>
      </x:c>
      <x:c r="J765" s="5" t="str">
        <x:v>未核实</x:v>
      </x:c>
    </x:row>
    <x:row r="766" ht="27" customHeight="1">
      <x:c r="A766" s="5" t="str">
        <x:v>元宝</x:v>
      </x:c>
      <x:c r="B766" s="5" t="str">
        <x:v>Q20</x:v>
      </x:c>
      <x:c r="C766" s="5" t="str">
        <x:v>蛋白粉种类这么多 该如何选择?</x:v>
      </x:c>
      <x:c r="D766" s="5" t="str">
        <x:v>http://mp.weixin.qq.com/s?__biz=Mzk0MTY4MTA2MA==&amp;mid=2247483761&amp;idx=1&amp;sn=b4d7485636b1b8ace32d9d845751a047&amp;chksm=c3cd1529adab8bc746b567d8da7992e65db553b1c762057680df09f31665c6b89e489ebb8d28#rd</x:v>
      </x:c>
      <x:c r="E766" s="5" t="str">
        <x:v>mp.weixin.qq.com</x:v>
      </x:c>
      <x:c r="F766" s="5" t="str">
        <x:v>UGC/视频/公众号</x:v>
      </x:c>
      <x:c r="G766" s="5" t="str">
        <x:v>是</x:v>
      </x:c>
      <x:c r="H766" s="5" t="str">
        <x:v>怡可纳、汤臣倍健</x:v>
      </x:c>
      <x:c r="I766" s="5" t="str">
        <x:v>主动</x:v>
      </x:c>
      <x:c r="J766" s="5" t="str">
        <x:v>未核实</x:v>
      </x:c>
    </x:row>
    <x:row r="767" ht="27" customHeight="1">
      <x:c r="A767" s="5" t="str">
        <x:v>元宝</x:v>
      </x:c>
      <x:c r="B767" s="5" t="str">
        <x:v>Q20</x:v>
      </x:c>
      <x:c r="C767" s="5" t="str">
        <x:v>2026年蛋白粉热销推荐榜,热门蛋白粉牌子有哪些可以买,行业点评</x:v>
      </x:c>
      <x:c r="D767" s="5" t="str">
        <x:v>http://www.dahenews.cn/dhnews/553037933.html</x:v>
      </x:c>
      <x:c r="E767" s="5" t="str">
        <x:v>dahenews.cn</x:v>
      </x:c>
      <x:c r="F767" s="5" t="str">
        <x:v>其他网页</x:v>
      </x:c>
      <x:c r="G767" s="5" t="str">
        <x:v>是</x:v>
      </x:c>
      <x:c r="H767" s="5" t="str">
        <x:v>怡可纳、汤臣倍健</x:v>
      </x:c>
      <x:c r="I767" s="5" t="str">
        <x:v>主动</x:v>
      </x:c>
      <x:c r="J767" s="5" t="str">
        <x:v>未核实</x:v>
      </x:c>
    </x:row>
    <x:row r="768" ht="27" customHeight="1">
      <x:c r="A768" s="5" t="str">
        <x:v>元宝</x:v>
      </x:c>
      <x:c r="B768" s="5" t="str">
        <x:v>Q20</x:v>
      </x:c>
      <x:c r="C768" s="5" t="str">
        <x:v>YIKENA 怡可纳 乳清蛋白固体饮料 巧克力味 2磅</x:v>
      </x:c>
      <x:c r="D768" s="5" t="str">
        <x:v>https://wiki.smzdm.com/p/5qr8e6o/canshu/</x:v>
      </x:c>
      <x:c r="E768" s="5" t="str">
        <x:v>wiki.smzdm.com</x:v>
      </x:c>
      <x:c r="F768" s="5" t="str">
        <x:v>UGC/视频/公众号</x:v>
      </x:c>
      <x:c r="G768" s="5" t="str">
        <x:v>是</x:v>
      </x:c>
      <x:c r="H768" s="5" t="str">
        <x:v>怡可纳、汤臣倍健</x:v>
      </x:c>
      <x:c r="I768" s="5" t="str">
        <x:v>主动</x:v>
      </x:c>
      <x:c r="J768" s="5" t="str">
        <x:v>未核实</x:v>
      </x:c>
    </x:row>
    <x:row r="769" ht="27" customHeight="1">
      <x:c r="A769" s="5" t="str">
        <x:v>元宝</x:v>
      </x:c>
      <x:c r="B769" s="5" t="str">
        <x:v>Q20</x:v>
      </x:c>
      <x:c r="C769" s="5" t="str">
        <x:v>酵母蛋白粉</x:v>
      </x:c>
      <x:c r="D769" s="5" t="str">
        <x:v>https://www.fatsecret.cn/%E7%83%AD%E9%87%8F%E8%90%A5%E5%85%BB/%E6%80%A1%E5%8F%AF%E7%BA%B3/%E9%85%B5%E6%AF%8D%E8%9B%8B%E7%99%BD%E7%B2%89/100%E5%85%8B</x:v>
      </x:c>
      <x:c r="E769" s="5" t="str">
        <x:v>fatsecret.cn</x:v>
      </x:c>
      <x:c r="F769" s="5" t="str">
        <x:v>其他网页</x:v>
      </x:c>
      <x:c r="G769" s="5" t="str">
        <x:v>是</x:v>
      </x:c>
      <x:c r="H769" s="5" t="str">
        <x:v>怡可纳、汤臣倍健</x:v>
      </x:c>
      <x:c r="I769" s="5" t="str">
        <x:v>主动</x:v>
      </x:c>
      <x:c r="J769" s="5" t="str">
        <x:v>未核实</x:v>
      </x:c>
    </x:row>
    <x:row r="770" ht="27" customHeight="1">
      <x:c r="A770" s="5" t="str">
        <x:v>元宝</x:v>
      </x:c>
      <x:c r="B770" s="5" t="str">
        <x:v>Q20</x:v>
      </x:c>
      <x:c r="C770" s="5" t="str">
        <x:v>lucky1900的笔记 什么值得买</x:v>
      </x:c>
      <x:c r="D770" s="5" t="str">
        <x:v>https://zhiyou.smzdm.com/member/5522062289/shaiwu/p2/</x:v>
      </x:c>
      <x:c r="E770" s="5" t="str">
        <x:v>zhiyou.smzdm.com</x:v>
      </x:c>
      <x:c r="F770" s="5" t="str">
        <x:v>UGC/视频/公众号</x:v>
      </x:c>
      <x:c r="G770" s="5" t="str">
        <x:v>是</x:v>
      </x:c>
      <x:c r="H770" s="5" t="str">
        <x:v>怡可纳、汤臣倍健</x:v>
      </x:c>
      <x:c r="I770" s="5" t="str">
        <x:v>主动</x:v>
      </x:c>
      <x:c r="J770" s="5" t="str">
        <x:v>未核实</x:v>
      </x:c>
    </x:row>
    <x:row r="771" ht="27" customHeight="1">
      <x:c r="A771" s="5" t="str">
        <x:v>元宝</x:v>
      </x:c>
      <x:c r="B771" s="5" t="str">
        <x:v>Q20</x:v>
      </x:c>
      <x:c r="C771" s="5" t="str">
        <x:v>怡可纳酵母蛋白粉健身高蛋白质粉运动非乳清蛋白粉官方旗舰店正品</x:v>
      </x:c>
      <x:c r="D771" s="5" t="str">
        <x:v>https://taouq.com/id-nPvg2dqTMt39zbMWDxTkkDt0tP-jdZqqnCX7NaOPAKFw/</x:v>
      </x:c>
      <x:c r="E771" s="5" t="str">
        <x:v>taouq.com</x:v>
      </x:c>
      <x:c r="F771" s="5" t="str">
        <x:v>其他网页</x:v>
      </x:c>
      <x:c r="G771" s="5" t="str">
        <x:v>是</x:v>
      </x:c>
      <x:c r="H771" s="5" t="str">
        <x:v>怡可纳、汤臣倍健</x:v>
      </x:c>
      <x:c r="I771" s="5" t="str">
        <x:v>主动</x:v>
      </x:c>
      <x:c r="J771" s="5" t="str">
        <x:v>未核实</x:v>
      </x:c>
    </x:row>
    <x:row r="772" ht="27" customHeight="1">
      <x:c r="A772" s="5" t="str">
        <x:v>元宝</x:v>
      </x:c>
      <x:c r="B772" s="5" t="str">
        <x:v>Q20</x:v>
      </x:c>
      <x:c r="C772" s="5" t="str">
        <x:v>Optimum Nutrition Gold Standard Whey 2LBS</x:v>
      </x:c>
      <x:c r="D772" s="5" t="str">
        <x:v>https://www.trucare.com.np/product/diet-nepal-gold-standard-whey-2lbs/</x:v>
      </x:c>
      <x:c r="E772" s="5" t="str">
        <x:v>trucare.com.np</x:v>
      </x:c>
      <x:c r="F772" s="5" t="str">
        <x:v>其他网页</x:v>
      </x:c>
      <x:c r="G772" s="5" t="str">
        <x:v>是</x:v>
      </x:c>
      <x:c r="H772" s="5" t="str">
        <x:v>怡可纳、汤臣倍健</x:v>
      </x:c>
      <x:c r="I772" s="5" t="str">
        <x:v>主动</x:v>
      </x:c>
      <x:c r="J772" s="5" t="str">
        <x:v>未核实</x:v>
      </x:c>
    </x:row>
    <x:row r="773" ht="27" customHeight="1">
      <x:c r="A773" s="5" t="str">
        <x:v>元宝</x:v>
      </x:c>
      <x:c r="B773" s="5" t="str">
        <x:v>Q20</x:v>
      </x:c>
      <x:c r="C773" s="5" t="str">
        <x:v>Eurial Ingredients &amp; Nutrition</x:v>
      </x:c>
      <x:c r="D773" s="5" t="str">
        <x:v>https://www.champion-bio.com/tw/brand-detail/eurial/</x:v>
      </x:c>
      <x:c r="E773" s="5" t="str">
        <x:v>champion-bio.com</x:v>
      </x:c>
      <x:c r="F773" s="5" t="str">
        <x:v>其他网页</x:v>
      </x:c>
      <x:c r="G773" s="5" t="str">
        <x:v>是</x:v>
      </x:c>
      <x:c r="H773" s="5" t="str">
        <x:v>怡可纳、汤臣倍健</x:v>
      </x:c>
      <x:c r="I773" s="5" t="str">
        <x:v>主动</x:v>
      </x:c>
      <x:c r="J773" s="5" t="str">
        <x:v>未核实</x:v>
      </x:c>
    </x:row>
    <x:row r="774" ht="27" customHeight="1">
      <x:c r="A774" s="5" t="str">
        <x:v>千问</x:v>
      </x:c>
      <x:c r="B774" s="5" t="str">
        <x:v>Q1</x:v>
      </x:c>
      <x:c r="C774" s="5" t="str">
        <x:v>首部酵母蛋白白皮书发布，国家战略级爆款原料真的来了！ - 食品频道</x:v>
      </x:c>
      <x:c r="D774" s="5" t="str">
        <x:v>https://shipin.sdnews.com.cn/spts/202604/t20260424_4669406.htm</x:v>
      </x:c>
      <x:c r="E774" s="5" t="str">
        <x:v>shipin.sdnews.com.cn</x:v>
      </x:c>
      <x:c r="F774" s="5" t="str">
        <x:v>综合媒体/转载</x:v>
      </x:c>
      <x:c r="G774" s="5" t="str">
        <x:v>否</x:v>
      </x:c>
      <x:c r="H774" s="5" t="str"/>
      <x:c r="I774" s="5" t="str">
        <x:v>自然</x:v>
      </x:c>
      <x:c r="J774" s="5" t="str">
        <x:v>未核实</x:v>
      </x:c>
    </x:row>
    <x:row r="775" ht="27" customHeight="1">
      <x:c r="A775" s="5" t="str">
        <x:v>千问</x:v>
      </x:c>
      <x:c r="B775" s="5" t="str">
        <x:v>Q1</x:v>
      </x:c>
      <x:c r="C775" s="5" t="str">
        <x:v>安琪酵母牵头申报的酵母蛋白获批新食品原料_凤凰网</x:v>
      </x:c>
      <x:c r="D775" s="5" t="str">
        <x:v>https://i.ifeng.com/c/8VA9ep32NDf</x:v>
      </x:c>
      <x:c r="E775" s="5" t="str">
        <x:v>i.ifeng.com</x:v>
      </x:c>
      <x:c r="F775" s="5" t="str">
        <x:v>其他网页</x:v>
      </x:c>
      <x:c r="G775" s="5" t="str">
        <x:v>否</x:v>
      </x:c>
      <x:c r="H775" s="5" t="str"/>
      <x:c r="I775" s="5" t="str">
        <x:v>自然</x:v>
      </x:c>
      <x:c r="J775" s="5" t="str">
        <x:v>未核实</x:v>
      </x:c>
    </x:row>
    <x:row r="776" ht="27" customHeight="1">
      <x:c r="A776" s="5" t="str">
        <x:v>千问</x:v>
      </x:c>
      <x:c r="B776" s="5" t="str">
        <x:v>Q1</x:v>
      </x:c>
      <x:c r="C776" s="5" t="str">
        <x:v>安琪AnPro_百度百科</x:v>
      </x:c>
      <x:c r="D776" s="5" t="str">
        <x:v>https://baike.baidu.com/item/%E5%AE%89%E7%90%AAAnPro/65007547</x:v>
      </x:c>
      <x:c r="E776" s="5" t="str">
        <x:v>baike.baidu.com</x:v>
      </x:c>
      <x:c r="F776" s="5" t="str">
        <x:v>百科</x:v>
      </x:c>
      <x:c r="G776" s="5" t="str">
        <x:v>否</x:v>
      </x:c>
      <x:c r="H776" s="5" t="str"/>
      <x:c r="I776" s="5" t="str">
        <x:v>自然</x:v>
      </x:c>
      <x:c r="J776" s="5" t="str">
        <x:v>未核实</x:v>
      </x:c>
    </x:row>
    <x:row r="777" ht="27" customHeight="1">
      <x:c r="A777" s="5" t="str">
        <x:v>千问</x:v>
      </x:c>
      <x:c r="B777" s="5" t="str">
        <x:v>Q1</x:v>
      </x:c>
      <x:c r="C777" s="5" t="str">
        <x:v>酵母蛋白到底好在哪？一文讲清</x:v>
      </x:c>
      <x:c r="D777" s="5" t="str">
        <x:v>https://page.sm.cn/blm/node-page-new-995/index?h=medical.v1.quark.cn&amp;id=28_e1c58f8fdf22a82217940766a85d9f06</x:v>
      </x:c>
      <x:c r="E777" s="5" t="str">
        <x:v>page.sm.cn</x:v>
      </x:c>
      <x:c r="F777" s="5" t="str">
        <x:v>其他网页</x:v>
      </x:c>
      <x:c r="G777" s="5" t="str">
        <x:v>否</x:v>
      </x:c>
      <x:c r="H777" s="5" t="str"/>
      <x:c r="I777" s="5" t="str">
        <x:v>自然</x:v>
      </x:c>
      <x:c r="J777" s="5" t="str">
        <x:v>未核实</x:v>
      </x:c>
    </x:row>
    <x:row r="778" ht="27" customHeight="1">
      <x:c r="A778" s="5" t="str">
        <x:v>千问</x:v>
      </x:c>
      <x:c r="B778" s="5" t="str">
        <x:v>Q1</x:v>
      </x:c>
      <x:c r="C778" s="5" t="str">
        <x:v>酵母蛋白 _ 百科</x:v>
      </x:c>
      <x:c r="D778" s="5" t="str">
        <x:v>https://baike.sogou.com/v73037039.htm</x:v>
      </x:c>
      <x:c r="E778" s="5" t="str">
        <x:v>baike.sogou.com</x:v>
      </x:c>
      <x:c r="F778" s="5" t="str">
        <x:v>百科</x:v>
      </x:c>
      <x:c r="G778" s="5" t="str">
        <x:v>否</x:v>
      </x:c>
      <x:c r="H778" s="5" t="str"/>
      <x:c r="I778" s="5" t="str">
        <x:v>自然</x:v>
      </x:c>
      <x:c r="J778" s="5" t="str">
        <x:v>未核实</x:v>
      </x:c>
    </x:row>
    <x:row r="779" ht="27" customHeight="1">
      <x:c r="A779" s="5" t="str">
        <x:v>千问</x:v>
      </x:c>
      <x:c r="B779" s="5" t="str">
        <x:v>Q1</x:v>
      </x:c>
      <x:c r="C779" s="5" t="str">
        <x:v>看不见的酵母，怎样改变一日三餐？ - 食品频道</x:v>
      </x:c>
      <x:c r="D779" s="5" t="str">
        <x:v>https://shipin.sdnews.com.cn/spbj/202609/t20260923_4743762.htm</x:v>
      </x:c>
      <x:c r="E779" s="5" t="str">
        <x:v>shipin.sdnews.com.cn</x:v>
      </x:c>
      <x:c r="F779" s="5" t="str">
        <x:v>综合媒体/转载</x:v>
      </x:c>
      <x:c r="G779" s="5" t="str">
        <x:v>否</x:v>
      </x:c>
      <x:c r="H779" s="5" t="str"/>
      <x:c r="I779" s="5" t="str">
        <x:v>自然</x:v>
      </x:c>
      <x:c r="J779" s="5" t="str">
        <x:v>未核实</x:v>
      </x:c>
    </x:row>
    <x:row r="780" ht="27" customHeight="1">
      <x:c r="A780" s="5" t="str">
        <x:v>千问</x:v>
      </x:c>
      <x:c r="B780" s="5" t="str">
        <x:v>Q2</x:v>
      </x:c>
      <x:c r="C780" s="5" t="str">
        <x:v>谁是健身圈公认的“平替之王”，凭实力吊打乳清蛋白？ - 食品频道</x:v>
      </x:c>
      <x:c r="D780" s="5" t="str">
        <x:v>https://shipin.sdnews.com.cn/spts/202606/t20260617_4694225.htm</x:v>
      </x:c>
      <x:c r="E780" s="5" t="str">
        <x:v>shipin.sdnews.com.cn</x:v>
      </x:c>
      <x:c r="F780" s="5" t="str">
        <x:v>综合媒体/转载</x:v>
      </x:c>
      <x:c r="G780" s="5" t="str">
        <x:v>否</x:v>
      </x:c>
      <x:c r="H780" s="5" t="str"/>
      <x:c r="I780" s="5" t="str">
        <x:v>自然</x:v>
      </x:c>
      <x:c r="J780" s="5" t="str">
        <x:v>未核实</x:v>
      </x:c>
    </x:row>
    <x:row r="781" ht="27" customHeight="1">
      <x:c r="A781" s="5" t="str">
        <x:v>千问</x:v>
      </x:c>
      <x:c r="B781" s="5" t="str">
        <x:v>Q2</x:v>
      </x:c>
      <x:c r="C781" s="5" t="str">
        <x:v>蛋白新宠：酵母蛋白大揭秘！ - 食品频道</x:v>
      </x:c>
      <x:c r="D781" s="5" t="str">
        <x:v>https://shipin.sdnews.com.cn/spts/202408/t20240814_4421645.htm</x:v>
      </x:c>
      <x:c r="E781" s="5" t="str">
        <x:v>shipin.sdnews.com.cn</x:v>
      </x:c>
      <x:c r="F781" s="5" t="str">
        <x:v>综合媒体/转载</x:v>
      </x:c>
      <x:c r="G781" s="5" t="str">
        <x:v>否</x:v>
      </x:c>
      <x:c r="H781" s="5" t="str"/>
      <x:c r="I781" s="5" t="str">
        <x:v>自然</x:v>
      </x:c>
      <x:c r="J781" s="5" t="str">
        <x:v>未核实</x:v>
      </x:c>
    </x:row>
    <x:row r="782" ht="27" customHeight="1">
      <x:c r="A782" s="5" t="str">
        <x:v>千问</x:v>
      </x:c>
      <x:c r="B782" s="5" t="str">
        <x:v>Q2</x:v>
      </x:c>
      <x:c r="C782" s="5" t="str">
        <x:v>酵母蛋白：被忽视的低嘌呤“优等生”，痛风与健身人群的共同新选择 - 食品频道</x:v>
      </x:c>
      <x:c r="D782" s="5" t="str">
        <x:v>https://shipin.sdnews.com.cn/sppp/202511/t20251128_4608249.htm</x:v>
      </x:c>
      <x:c r="E782" s="5" t="str">
        <x:v>shipin.sdnews.com.cn</x:v>
      </x:c>
      <x:c r="F782" s="5" t="str">
        <x:v>综合媒体/转载</x:v>
      </x:c>
      <x:c r="G782" s="5" t="str">
        <x:v>否</x:v>
      </x:c>
      <x:c r="H782" s="5" t="str"/>
      <x:c r="I782" s="5" t="str">
        <x:v>自然</x:v>
      </x:c>
      <x:c r="J782" s="5" t="str">
        <x:v>未核实</x:v>
      </x:c>
    </x:row>
    <x:row r="783" ht="27" customHeight="1">
      <x:c r="A783" s="5" t="str">
        <x:v>千问</x:v>
      </x:c>
      <x:c r="B783" s="5" t="str">
        <x:v>Q2</x:v>
      </x:c>
      <x:c r="C783" s="5" t="str">
        <x:v>高盛看安琪酵母：从卖酵母，到和乳清蛋白抢市场 | Foodaily每日食品</x:v>
      </x:c>
      <x:c r="D783" s="5" t="str">
        <x:v>https://foodaily.com/index.php/articles/42183</x:v>
      </x:c>
      <x:c r="E783" s="5" t="str">
        <x:v>foodaily.com</x:v>
      </x:c>
      <x:c r="F783" s="5" t="str">
        <x:v>其他网页</x:v>
      </x:c>
      <x:c r="G783" s="5" t="str">
        <x:v>否</x:v>
      </x:c>
      <x:c r="H783" s="5" t="str"/>
      <x:c r="I783" s="5" t="str">
        <x:v>自然</x:v>
      </x:c>
      <x:c r="J783" s="5" t="str">
        <x:v>未核实</x:v>
      </x:c>
    </x:row>
    <x:row r="784" ht="27" customHeight="1">
      <x:c r="A784" s="5" t="str">
        <x:v>千问</x:v>
      </x:c>
      <x:c r="B784" s="5" t="str">
        <x:v>Q2</x:v>
      </x:c>
      <x:c r="C784" s="5" t="str">
        <x:v>酵母蛋白vs乳清蛋白</x:v>
      </x:c>
      <x:c r="D784" s="5" t="str">
        <x:v>https://www.bilibili.com/video/BV1Xneg6MEQX</x:v>
      </x:c>
      <x:c r="E784" s="5" t="str">
        <x:v>bilibili.com</x:v>
      </x:c>
      <x:c r="F784" s="5" t="str">
        <x:v>UGC/视频/公众号</x:v>
      </x:c>
      <x:c r="G784" s="5" t="str">
        <x:v>否</x:v>
      </x:c>
      <x:c r="H784" s="5" t="str"/>
      <x:c r="I784" s="5" t="str">
        <x:v>自然</x:v>
      </x:c>
      <x:c r="J784" s="5" t="str">
        <x:v>未核实</x:v>
      </x:c>
    </x:row>
    <x:row r="785" ht="27" customHeight="1">
      <x:c r="A785" s="5" t="str">
        <x:v>千问</x:v>
      </x:c>
      <x:c r="B785" s="5" t="str">
        <x:v>Q3</x:v>
      </x:c>
      <x:c r="C785" s="5" t="str">
        <x:v>酵母蛋白：打破嘌呤迷思，开启健康蛋白新纪元 - 食品频道</x:v>
      </x:c>
      <x:c r="D785" s="5" t="str">
        <x:v>https://shipin.sdnews.com.cn/spts/202512/t20251202_4609718.htm</x:v>
      </x:c>
      <x:c r="E785" s="5" t="str">
        <x:v>shipin.sdnews.com.cn</x:v>
      </x:c>
      <x:c r="F785" s="5" t="str">
        <x:v>综合媒体/转载</x:v>
      </x:c>
      <x:c r="G785" s="5" t="str">
        <x:v>否</x:v>
      </x:c>
      <x:c r="H785" s="5" t="str"/>
      <x:c r="I785" s="5" t="str">
        <x:v>自然</x:v>
      </x:c>
      <x:c r="J785" s="5" t="str">
        <x:v>未核实</x:v>
      </x:c>
    </x:row>
    <x:row r="786" ht="27" customHeight="1">
      <x:c r="A786" s="5" t="str">
        <x:v>千问</x:v>
      </x:c>
      <x:c r="B786" s="5" t="str">
        <x:v>Q3</x:v>
      </x:c>
      <x:c r="C786" s="5" t="str">
        <x:v>蛋白新宠：酵母蛋白大揭秘！ - 食品频道</x:v>
      </x:c>
      <x:c r="D786" s="5" t="str">
        <x:v>https://shipin.sdnews.com.cn/spts/202408/t20240814_4421645.htm</x:v>
      </x:c>
      <x:c r="E786" s="5" t="str">
        <x:v>shipin.sdnews.com.cn</x:v>
      </x:c>
      <x:c r="F786" s="5" t="str">
        <x:v>综合媒体/转载</x:v>
      </x:c>
      <x:c r="G786" s="5" t="str">
        <x:v>否</x:v>
      </x:c>
      <x:c r="H786" s="5" t="str"/>
      <x:c r="I786" s="5" t="str">
        <x:v>自然</x:v>
      </x:c>
      <x:c r="J786" s="5" t="str">
        <x:v>未核实</x:v>
      </x:c>
    </x:row>
    <x:row r="787" ht="27" customHeight="1">
      <x:c r="A787" s="5" t="str">
        <x:v>千问</x:v>
      </x:c>
      <x:c r="B787" s="5" t="str">
        <x:v>Q3</x:v>
      </x:c>
      <x:c r="C787" s="5" t="str">
        <x:v>多品牌蛋白粉每桶涨价近百元，乳清蛋白成本翻倍，消费者寻找平替_财经频道_证券之星</x:v>
      </x:c>
      <x:c r="D787" s="5" t="str">
        <x:v>http://finance.stockstar.com/IG2026060100009601.shtml</x:v>
      </x:c>
      <x:c r="E787" s="5" t="str">
        <x:v>finance.stockstar.com</x:v>
      </x:c>
      <x:c r="F787" s="5" t="str">
        <x:v>其他网页</x:v>
      </x:c>
      <x:c r="G787" s="5" t="str">
        <x:v>否</x:v>
      </x:c>
      <x:c r="H787" s="5" t="str"/>
      <x:c r="I787" s="5" t="str">
        <x:v>自然</x:v>
      </x:c>
      <x:c r="J787" s="5" t="str">
        <x:v>未核实</x:v>
      </x:c>
    </x:row>
    <x:row r="788" ht="27" customHeight="1">
      <x:c r="A788" s="5" t="str">
        <x:v>千问</x:v>
      </x:c>
      <x:c r="B788" s="5" t="str">
        <x:v>Q3</x:v>
      </x:c>
      <x:c r="C788" s="5" t="str">
        <x:v>一文看懂：关于酵母蛋白，你最想知道的7个问题，答案都在这里 - 食品频道</x:v>
      </x:c>
      <x:c r="D788" s="5" t="str">
        <x:v>https://shipin.sdnews.com.cn/spts/202607/t20260730_4715629.htm</x:v>
      </x:c>
      <x:c r="E788" s="5" t="str">
        <x:v>shipin.sdnews.com.cn</x:v>
      </x:c>
      <x:c r="F788" s="5" t="str">
        <x:v>综合媒体/转载</x:v>
      </x:c>
      <x:c r="G788" s="5" t="str">
        <x:v>否</x:v>
      </x:c>
      <x:c r="H788" s="5" t="str"/>
      <x:c r="I788" s="5" t="str">
        <x:v>自然</x:v>
      </x:c>
      <x:c r="J788" s="5" t="str">
        <x:v>未核实</x:v>
      </x:c>
    </x:row>
    <x:row r="789" ht="27" customHeight="1">
      <x:c r="A789" s="5" t="str">
        <x:v>千问</x:v>
      </x:c>
      <x:c r="B789" s="5" t="str">
        <x:v>Q3</x:v>
      </x:c>
      <x:c r="C789" s="5" t="str">
        <x:v>宜昌“微”力量撬动营养新赛道 安琪酵母蛋白“入编”新国标 - 发展动态 - 宜昌市人民政府国有资产监督管理委员会</x:v>
      </x:c>
      <x:c r="D789" s="5" t="str">
        <x:v>http://gzw.yichang.gov.cn/content-40899-17845-1.html</x:v>
      </x:c>
      <x:c r="E789" s="5" t="str">
        <x:v>gzw.yichang.gov.cn</x:v>
      </x:c>
      <x:c r="F789" s="5" t="str">
        <x:v>官方机构</x:v>
      </x:c>
      <x:c r="G789" s="5" t="str">
        <x:v>否</x:v>
      </x:c>
      <x:c r="H789" s="5" t="str"/>
      <x:c r="I789" s="5" t="str">
        <x:v>自然</x:v>
      </x:c>
      <x:c r="J789" s="5" t="str">
        <x:v>未核实</x:v>
      </x:c>
    </x:row>
    <x:row r="790" ht="27" customHeight="1">
      <x:c r="A790" s="5" t="str">
        <x:v>千问</x:v>
      </x:c>
      <x:c r="B790" s="5" t="str">
        <x:v>Q3</x:v>
      </x:c>
      <x:c r="C790" s="5" t="str">
        <x:v>谁是健身圈公认的“平替之王”，凭实力吊打乳清蛋白？ - 食品频道</x:v>
      </x:c>
      <x:c r="D790" s="5" t="str">
        <x:v>https://shipin.sdnews.com.cn/spts/202606/t20260617_4694225.htm</x:v>
      </x:c>
      <x:c r="E790" s="5" t="str">
        <x:v>shipin.sdnews.com.cn</x:v>
      </x:c>
      <x:c r="F790" s="5" t="str">
        <x:v>综合媒体/转载</x:v>
      </x:c>
      <x:c r="G790" s="5" t="str">
        <x:v>否</x:v>
      </x:c>
      <x:c r="H790" s="5" t="str"/>
      <x:c r="I790" s="5" t="str">
        <x:v>自然</x:v>
      </x:c>
      <x:c r="J790" s="5" t="str">
        <x:v>未核实</x:v>
      </x:c>
    </x:row>
    <x:row r="791" ht="27" customHeight="1">
      <x:c r="A791" s="5" t="str">
        <x:v>千问</x:v>
      </x:c>
      <x:c r="B791" s="5" t="str">
        <x:v>Q3</x:v>
      </x:c>
      <x:c r="C791" s="5" t="str">
        <x:v>新质蛋白_百度百科</x:v>
      </x:c>
      <x:c r="D791" s="5" t="str">
        <x:v>https://baike.baidu.com/item/%E6%96%B0%E8%B4%A8%E8%9B%8B%E7%99%BD/67654520</x:v>
      </x:c>
      <x:c r="E791" s="5" t="str">
        <x:v>baike.baidu.com</x:v>
      </x:c>
      <x:c r="F791" s="5" t="str">
        <x:v>百科</x:v>
      </x:c>
      <x:c r="G791" s="5" t="str">
        <x:v>否</x:v>
      </x:c>
      <x:c r="H791" s="5" t="str"/>
      <x:c r="I791" s="5" t="str">
        <x:v>自然</x:v>
      </x:c>
      <x:c r="J791" s="5" t="str">
        <x:v>未核实</x:v>
      </x:c>
    </x:row>
    <x:row r="792" ht="27" customHeight="1">
      <x:c r="A792" s="5" t="str">
        <x:v>千问</x:v>
      </x:c>
      <x:c r="B792" s="5" t="str">
        <x:v>Q3</x:v>
      </x:c>
      <x:c r="C792" s="5" t="str">
        <x:v>酵母的力量（一）酵母蛋白：食品营养界的“全能ACE” - 食品频道</x:v>
      </x:c>
      <x:c r="D792" s="5" t="str">
        <x:v>https://shipin.sdnews.com.cn/sppp/202512/t20251217_4616207.htm</x:v>
      </x:c>
      <x:c r="E792" s="5" t="str">
        <x:v>shipin.sdnews.com.cn</x:v>
      </x:c>
      <x:c r="F792" s="5" t="str">
        <x:v>综合媒体/转载</x:v>
      </x:c>
      <x:c r="G792" s="5" t="str">
        <x:v>否</x:v>
      </x:c>
      <x:c r="H792" s="5" t="str"/>
      <x:c r="I792" s="5" t="str">
        <x:v>自然</x:v>
      </x:c>
      <x:c r="J792" s="5" t="str">
        <x:v>未核实</x:v>
      </x:c>
    </x:row>
    <x:row r="793" ht="27" customHeight="1">
      <x:c r="A793" s="5" t="str">
        <x:v>千问</x:v>
      </x:c>
      <x:c r="B793" s="5" t="str">
        <x:v>Q3</x:v>
      </x:c>
      <x:c r="C793" s="5" t="str">
        <x:v>酵母蛋白粉的功效和作用_妙手医生</x:v>
      </x:c>
      <x:c r="D793" s="5" t="str">
        <x:v>https://www.miaoshou.net/article/MPeNRn680yQ2OBYV.html</x:v>
      </x:c>
      <x:c r="E793" s="5" t="str">
        <x:v>miaoshou.net</x:v>
      </x:c>
      <x:c r="F793" s="5" t="str">
        <x:v>其他网页</x:v>
      </x:c>
      <x:c r="G793" s="5" t="str">
        <x:v>否</x:v>
      </x:c>
      <x:c r="H793" s="5" t="str"/>
      <x:c r="I793" s="5" t="str">
        <x:v>自然</x:v>
      </x:c>
      <x:c r="J793" s="5" t="str">
        <x:v>未核实</x:v>
      </x:c>
    </x:row>
    <x:row r="794" ht="27" customHeight="1">
      <x:c r="A794" s="5" t="str">
        <x:v>千问</x:v>
      </x:c>
      <x:c r="B794" s="5" t="str">
        <x:v>Q3</x:v>
      </x:c>
      <x:c r="C794" s="5" t="str">
        <x:v>酵母蛋白到底好在哪？一文讲清</x:v>
      </x:c>
      <x:c r="D794" s="5" t="str">
        <x:v>https://page.sm.cn/blm/node-page-new-995/index?h=medical.v1.quark.cn&amp;id=28_e1c58f8fdf22a82217940766a85d9f06</x:v>
      </x:c>
      <x:c r="E794" s="5" t="str">
        <x:v>page.sm.cn</x:v>
      </x:c>
      <x:c r="F794" s="5" t="str">
        <x:v>其他网页</x:v>
      </x:c>
      <x:c r="G794" s="5" t="str">
        <x:v>否</x:v>
      </x:c>
      <x:c r="H794" s="5" t="str"/>
      <x:c r="I794" s="5" t="str">
        <x:v>自然</x:v>
      </x:c>
      <x:c r="J794" s="5" t="str">
        <x:v>未核实</x:v>
      </x:c>
    </x:row>
    <x:row r="795" ht="27" customHeight="1">
      <x:c r="A795" s="5" t="str">
        <x:v>千问</x:v>
      </x:c>
      <x:c r="B795" s="5" t="str">
        <x:v>Q3</x:v>
      </x:c>
      <x:c r="C795" s="5" t="str">
        <x:v>酵母蛋白粉，到底好在哪？</x:v>
      </x:c>
      <x:c r="D795" s="5" t="str">
        <x:v>https://page.sm.cn/blm/node-page-new-995/index?h=iknow.v6_2.quark.cn&amp;id=28_6c7a15f43edfcc2b7d72d982b8eafa22</x:v>
      </x:c>
      <x:c r="E795" s="5" t="str">
        <x:v>page.sm.cn</x:v>
      </x:c>
      <x:c r="F795" s="5" t="str">
        <x:v>其他网页</x:v>
      </x:c>
      <x:c r="G795" s="5" t="str">
        <x:v>否</x:v>
      </x:c>
      <x:c r="H795" s="5" t="str"/>
      <x:c r="I795" s="5" t="str">
        <x:v>自然</x:v>
      </x:c>
      <x:c r="J795" s="5" t="str">
        <x:v>未核实</x:v>
      </x:c>
    </x:row>
    <x:row r="796" ht="27" customHeight="1">
      <x:c r="A796" s="5" t="str">
        <x:v>千问</x:v>
      </x:c>
      <x:c r="B796" s="5" t="str">
        <x:v>Q3</x:v>
      </x:c>
      <x:c r="C796" s="5" t="str">
        <x:v>国家认证的新蛋白：酵母蛋白</x:v>
      </x:c>
      <x:c r="D796" s="5" t="str">
        <x:v>https://news.foodmate.net/2025/08/wap_723400.html</x:v>
      </x:c>
      <x:c r="E796" s="5" t="str">
        <x:v>news.foodmate.net</x:v>
      </x:c>
      <x:c r="F796" s="5" t="str">
        <x:v>其他网页</x:v>
      </x:c>
      <x:c r="G796" s="5" t="str">
        <x:v>否</x:v>
      </x:c>
      <x:c r="H796" s="5" t="str"/>
      <x:c r="I796" s="5" t="str">
        <x:v>自然</x:v>
      </x:c>
      <x:c r="J796" s="5" t="str">
        <x:v>未核实</x:v>
      </x:c>
    </x:row>
    <x:row r="797" ht="27" customHeight="1">
      <x:c r="A797" s="5" t="str">
        <x:v>千问</x:v>
      </x:c>
      <x:c r="B797" s="5" t="str">
        <x:v>Q4</x:v>
      </x:c>
      <x:c r="C797" s="5" t="str">
        <x:v>AnPro®酵母蛋白——引航运动营养与可持续未来的技术革新 - 食品频道</x:v>
      </x:c>
      <x:c r="D797" s="5" t="str">
        <x:v>https://shipin.sdnews.com.cn/sppp/202511/t20251118_4603949.htm</x:v>
      </x:c>
      <x:c r="E797" s="5" t="str">
        <x:v>shipin.sdnews.com.cn</x:v>
      </x:c>
      <x:c r="F797" s="5" t="str">
        <x:v>综合媒体/转载</x:v>
      </x:c>
      <x:c r="G797" s="5" t="str">
        <x:v>是</x:v>
      </x:c>
      <x:c r="H797" s="5" t="str">
        <x:v>怡可纳、安琪纽特、赛霸/小赛同学、京东京造、米当卡、南巨、英之素、元气码头、三角喵、JGGONDON/剑盾、Myprotein、Now Foods</x:v>
      </x:c>
      <x:c r="I797" s="5" t="str">
        <x:v>自然</x:v>
      </x:c>
      <x:c r="J797" s="5" t="str">
        <x:v>未核实</x:v>
      </x:c>
    </x:row>
    <x:row r="798" ht="27" customHeight="1">
      <x:c r="A798" s="5" t="str">
        <x:v>千问</x:v>
      </x:c>
      <x:c r="B798" s="5" t="str">
        <x:v>Q4</x:v>
      </x:c>
      <x:c r="C798" s="5" t="str">
        <x:v>酵母蛋白粉市场规模、份额、行业趋势、2032 年预测 | WiseGuyReports</x:v>
      </x:c>
      <x:c r="D798" s="5" t="str">
        <x:v>https://www.wiseguyreports.com/cn/reports/yeast-protein-powder-market</x:v>
      </x:c>
      <x:c r="E798" s="5" t="str">
        <x:v>wiseguyreports.com</x:v>
      </x:c>
      <x:c r="F798" s="5" t="str">
        <x:v>行业报告</x:v>
      </x:c>
      <x:c r="G798" s="5" t="str">
        <x:v>是</x:v>
      </x:c>
      <x:c r="H798" s="5" t="str">
        <x:v>怡可纳、安琪纽特、赛霸/小赛同学、京东京造、米当卡、南巨、英之素、元气码头、三角喵、JGGONDON/剑盾、Myprotein、Now Foods</x:v>
      </x:c>
      <x:c r="I798" s="5" t="str">
        <x:v>自然</x:v>
      </x:c>
      <x:c r="J798" s="5" t="str">
        <x:v>未核实</x:v>
      </x:c>
    </x:row>
    <x:row r="799" ht="27" customHeight="1">
      <x:c r="A799" s="5" t="str">
        <x:v>千问</x:v>
      </x:c>
      <x:c r="B799" s="5" t="str">
        <x:v>Q4</x:v>
      </x:c>
      <x:c r="C799" s="5" t="str">
        <x:v>Yeast Protein Powder Market – PW Consulting Health Care Research Center</x:v>
      </x:c>
      <x:c r="D799" s="5" t="str">
        <x:v>https://pmarketresearch.com/hc/yeast-protein-powder-market/</x:v>
      </x:c>
      <x:c r="E799" s="5" t="str">
        <x:v>pmarketresearch.com</x:v>
      </x:c>
      <x:c r="F799" s="5" t="str">
        <x:v>行业报告</x:v>
      </x:c>
      <x:c r="G799" s="5" t="str">
        <x:v>是</x:v>
      </x:c>
      <x:c r="H799" s="5" t="str">
        <x:v>怡可纳、安琪纽特、赛霸/小赛同学、京东京造、米当卡、南巨、英之素、元气码头、三角喵、JGGONDON/剑盾、Myprotein、Now Foods</x:v>
      </x:c>
      <x:c r="I799" s="5" t="str">
        <x:v>自然</x:v>
      </x:c>
      <x:c r="J799" s="5" t="str">
        <x:v>未核实</x:v>
      </x:c>
    </x:row>
    <x:row r="800" ht="27" customHeight="1">
      <x:c r="A800" s="5" t="str">
        <x:v>千问</x:v>
      </x:c>
      <x:c r="B800" s="5" t="str">
        <x:v>Q4</x:v>
      </x:c>
      <x:c r="C800" s="5" t="str">
        <x:v>官宣！酵母蛋白正式“转正”，安琪纽特这回又站C位了 - 食品频道</x:v>
      </x:c>
      <x:c r="D800" s="5" t="str">
        <x:v>https://shipin.sdnews.com.cn/sppp/202608/t20260804_4717978.htm</x:v>
      </x:c>
      <x:c r="E800" s="5" t="str">
        <x:v>shipin.sdnews.com.cn</x:v>
      </x:c>
      <x:c r="F800" s="5" t="str">
        <x:v>综合媒体/转载</x:v>
      </x:c>
      <x:c r="G800" s="5" t="str">
        <x:v>是</x:v>
      </x:c>
      <x:c r="H800" s="5" t="str">
        <x:v>怡可纳、安琪纽特、赛霸/小赛同学、京东京造、米当卡、南巨、英之素、元气码头、三角喵、JGGONDON/剑盾、Myprotein、Now Foods</x:v>
      </x:c>
      <x:c r="I800" s="5" t="str">
        <x:v>自然</x:v>
      </x:c>
      <x:c r="J800" s="5" t="str">
        <x:v>未核实</x:v>
      </x:c>
    </x:row>
    <x:row r="801" ht="27" customHeight="1">
      <x:c r="A801" s="5" t="str">
        <x:v>千问</x:v>
      </x:c>
      <x:c r="B801" s="5" t="str">
        <x:v>Q4</x:v>
      </x:c>
      <x:c r="C801" s="5" t="str">
        <x:v>安琪纽特酵母蛋白粉获FFC2026功能性食品大会产品创新奖 - 今日头条</x:v>
      </x:c>
      <x:c r="D801" s="5" t="str">
        <x:v>https://www.toutiao.com/article/7638200867182707254/</x:v>
      </x:c>
      <x:c r="E801" s="5" t="str">
        <x:v>toutiao.com</x:v>
      </x:c>
      <x:c r="F801" s="5" t="str">
        <x:v>UGC/视频/公众号</x:v>
      </x:c>
      <x:c r="G801" s="5" t="str">
        <x:v>是</x:v>
      </x:c>
      <x:c r="H801" s="5" t="str">
        <x:v>怡可纳、安琪纽特、赛霸/小赛同学、京东京造、米当卡、南巨、英之素、元气码头、三角喵、JGGONDON/剑盾、Myprotein、Now Foods</x:v>
      </x:c>
      <x:c r="I801" s="5" t="str">
        <x:v>自然</x:v>
      </x:c>
      <x:c r="J801" s="5" t="str">
        <x:v>未核实</x:v>
      </x:c>
    </x:row>
    <x:row r="802" ht="27" customHeight="1">
      <x:c r="A802" s="5" t="str">
        <x:v>千问</x:v>
      </x:c>
      <x:c r="B802" s="5" t="str">
        <x:v>Q4</x:v>
      </x:c>
      <x:c r="C802" s="5" t="str">
        <x:v>2026年中国酵母蛋白粉行业市场权威调研分析</x:v>
      </x:c>
      <x:c r="D802" s="5" t="str">
        <x:v>https://q.stock.sohu.com/cn/news.html?code=cn_600298&amp;date=2026/0526&amp;tab=200&amp;textId=1016060714&amp;type=120</x:v>
      </x:c>
      <x:c r="E802" s="5" t="str">
        <x:v>q.stock.sohu.com</x:v>
      </x:c>
      <x:c r="F802" s="5" t="str">
        <x:v>综合媒体/转载</x:v>
      </x:c>
      <x:c r="G802" s="5" t="str">
        <x:v>是</x:v>
      </x:c>
      <x:c r="H802" s="5" t="str">
        <x:v>怡可纳、安琪纽特、赛霸/小赛同学、京东京造、米当卡、南巨、英之素、元气码头、三角喵、JGGONDON/剑盾、Myprotein、Now Foods</x:v>
      </x:c>
      <x:c r="I802" s="5" t="str">
        <x:v>自然</x:v>
      </x:c>
      <x:c r="J802" s="5" t="str">
        <x:v>未核实</x:v>
      </x:c>
    </x:row>
    <x:row r="803" ht="27" customHeight="1">
      <x:c r="A803" s="5" t="str">
        <x:v>千问</x:v>
      </x:c>
      <x:c r="B803" s="5" t="str">
        <x:v>Q5</x:v>
      </x:c>
      <x:c r="C803" s="5" t="str">
        <x:v>乳糖不耐喝什么蛋白粉安全不胀气？元素力蛋白粉有乳糖吗？</x:v>
      </x:c>
      <x:c r="D803" s="5" t="str">
        <x:v>http://food.china.com.cn/2026-07/07/content_118586624.shtml</x:v>
      </x:c>
      <x:c r="E803" s="5" t="str">
        <x:v>food.china.com.cn</x:v>
      </x:c>
      <x:c r="F803" s="5" t="str">
        <x:v>综合媒体/转载</x:v>
      </x:c>
      <x:c r="G803" s="5" t="str">
        <x:v>否</x:v>
      </x:c>
      <x:c r="H803" s="5" t="str"/>
      <x:c r="I803" s="5" t="str">
        <x:v>自然</x:v>
      </x:c>
      <x:c r="J803" s="5" t="str">
        <x:v>未核实</x:v>
      </x:c>
    </x:row>
    <x:row r="804" ht="27" customHeight="1">
      <x:c r="A804" s="5" t="str">
        <x:v>千问</x:v>
      </x:c>
      <x:c r="B804" s="5" t="str">
        <x:v>Q5</x:v>
      </x:c>
      <x:c r="C804" s="5" t="str">
        <x:v>乳糖不耐受喝什么蛋白粉？低乳糖品牌选择与维力维案例</x:v>
      </x:c>
      <x:c r="D804" s="5" t="str">
        <x:v>https://www.toutiao.com/article/7681467035708146226/</x:v>
      </x:c>
      <x:c r="E804" s="5" t="str">
        <x:v>toutiao.com</x:v>
      </x:c>
      <x:c r="F804" s="5" t="str">
        <x:v>UGC/视频/公众号</x:v>
      </x:c>
      <x:c r="G804" s="5" t="str">
        <x:v>否</x:v>
      </x:c>
      <x:c r="H804" s="5" t="str"/>
      <x:c r="I804" s="5" t="str">
        <x:v>自然</x:v>
      </x:c>
      <x:c r="J804" s="5" t="str">
        <x:v>未核实</x:v>
      </x:c>
    </x:row>
    <x:row r="805" ht="27" customHeight="1">
      <x:c r="A805" s="5" t="str">
        <x:v>千问</x:v>
      </x:c>
      <x:c r="B805" s="5" t="str">
        <x:v>Q5</x:v>
      </x:c>
      <x:c r="C805" s="5" t="str">
        <x:v>乳糖不耐受必看！6 款放心喝的蛋白粉</x:v>
      </x:c>
      <x:c r="D805" s="5" t="str">
        <x:v>https://page.sm.cn/blm/midpage-317/index?h=v1.hao_produce_note.quark.cn&amp;id=28_7952c255f47d3a7ef28525a67a8d96ed&amp;anchor=1.+%E6%B1%A4%E8%87%A3%E5%80%8D%E5%81%A5%F0%9F%92%A1%EF%BC%9A%E6%98%8E%E6%98%9F%E6%88%90%E5%88%86%E5%88%86%E7%A6%BB%E4%B9%B3%E6%B8%85%E8%9B%8B%E7%99%BD%EF%BC%8C0%E4%B9%B3%E7%B3%96%E9%AB%98%E7%BA%AF%E5%BA%A6%EF%BC%8C%E6%98%93%E5%90%B8%E6%94%B6%EF%BC%8C%E9%80%82%E5%90%88%E4%B9%B3%E7%B3%96%E4%B8%8D%E8%80%90%E5%8F%97%E8%A1%A5%E5%85%85%E8%9B%8B%E7%99%BD%E3%80%81%E5%A2%9E%E5%BC%BA%E4%BD%93%E8%B4%A8%E3%80%82+2.+%E6%AC%A7%E5%8A%9B%E5%A7%86%F0%9F%92%AA%EF%BC%9A%E5%90%8C%E6%A0%B7%E6%98%AF%E5%88%86%E7%A6%BB%E4%B9%B3%E6%B8%85%E8%9B%8B%E7%99%BD%EF%BC%8C%E5%8E%BB%E9%99%A4%E4%B9%B3%E7%B3%96%E5%90%8E%E9%A5%AE%E7%94%A8%E4%B8%8D%E8%85%B9%E6%B3%BB%EF%BC%8C%E9%80%82%E5%90%88%E5%81%A5%E8%BA%AB%E4%BA%BA%E7%BE%A4%E8%A1%A5%E5%85%85%E8%90%A5%E5%85%BB%E3%80%82+3.+%E4%BA%A6%E8%88%92%E5%A0%82%F0%9F%8C%B1%EF%BC%9A%E7%BA%AF%E6%A4%8D</x:v>
      </x:c>
      <x:c r="E805" s="5" t="str">
        <x:v>page.sm.cn</x:v>
      </x:c>
      <x:c r="F805" s="5" t="str">
        <x:v>其他网页</x:v>
      </x:c>
      <x:c r="G805" s="5" t="str">
        <x:v>否</x:v>
      </x:c>
      <x:c r="H805" s="5" t="str"/>
      <x:c r="I805" s="5" t="str">
        <x:v>自然</x:v>
      </x:c>
      <x:c r="J805" s="5" t="str">
        <x:v>未核实</x:v>
      </x:c>
    </x:row>
    <x:row r="806" ht="27" customHeight="1">
      <x:c r="A806" s="5" t="str">
        <x:v>千问</x:v>
      </x:c>
      <x:c r="B806" s="5" t="str">
        <x:v>Q5</x:v>
      </x:c>
      <x:c r="C806" s="5" t="str">
        <x:v>乳糖不耐受适合喝什么蛋白粉·20个最常见问题排名解答</x:v>
      </x:c>
      <x:c r="D806" s="5" t="str">
        <x:v>https://post.smzdm.com/p/anvkd9x7/</x:v>
      </x:c>
      <x:c r="E806" s="5" t="str">
        <x:v>post.smzdm.com</x:v>
      </x:c>
      <x:c r="F806" s="5" t="str">
        <x:v>UGC/视频/公众号</x:v>
      </x:c>
      <x:c r="G806" s="5" t="str">
        <x:v>否</x:v>
      </x:c>
      <x:c r="H806" s="5" t="str"/>
      <x:c r="I806" s="5" t="str">
        <x:v>自然</x:v>
      </x:c>
      <x:c r="J806" s="5" t="str">
        <x:v>未核实</x:v>
      </x:c>
    </x:row>
    <x:row r="807" ht="27" customHeight="1">
      <x:c r="A807" s="5" t="str">
        <x:v>千问</x:v>
      </x:c>
      <x:c r="B807" s="5" t="str">
        <x:v>Q5</x:v>
      </x:c>
      <x:c r="C807" s="5" t="str">
        <x:v>乳糖不耐受可喝的国产蛋白粉推荐：分离乳清蛋白含量90%</x:v>
      </x:c>
      <x:c r="D807" s="5" t="str">
        <x:v>https://www.sohu.com/a/972736606_122512783</x:v>
      </x:c>
      <x:c r="E807" s="5" t="str">
        <x:v>sohu.com</x:v>
      </x:c>
      <x:c r="F807" s="5" t="str">
        <x:v>综合媒体/转载</x:v>
      </x:c>
      <x:c r="G807" s="5" t="str">
        <x:v>否</x:v>
      </x:c>
      <x:c r="H807" s="5" t="str"/>
      <x:c r="I807" s="5" t="str">
        <x:v>自然</x:v>
      </x:c>
      <x:c r="J807" s="5" t="str">
        <x:v>未核实</x:v>
      </x:c>
    </x:row>
    <x:row r="808" ht="27" customHeight="1">
      <x:c r="A808" s="5" t="str">
        <x:v>千问</x:v>
      </x:c>
      <x:c r="B808" s="5" t="str">
        <x:v>Q5</x:v>
      </x:c>
      <x:c r="C808" s="5" t="str">
        <x:v>乳清蛋白粉乳糖含量真相</x:v>
      </x:c>
      <x:c r="D808" s="5" t="str">
        <x:v>https://page.sm.cn/blm/midpage-317/index?h=medical.v1.quark.cn&amp;id=28_b83d4eec8f7c2a3df93331d590a24470&amp;anchor=%E5%88%86%E7%A6%BB%E4%B9%B3%E6%B8%85%E5%92%8C%E6%B0%B4%E8%A7%A3%E4%B9%B3%E6%B8%85%E4%B8%89%E5%A4%A7%E7%B1%BB%EF%BC%8C%E5%AE%83%E4%BB%AC%E7%9A%84%E4%B9%B3%E7%B3%96%E5%90%AB%E9%87%8F%E4%BB%8E%E5%A4%9A%E5%88%B0%E5%B0%91%E4%BE%9D%E6%AC%A1%E9%80%92%E5%87%8F%E3%80%82+%F0%9F%93%96+%E6%A6%82%E5%BF%B5%E4%BA%8C%EF%BC%9A%E4%B8%8D%E5%90%8C%E5%93%81%E7%B1%BB%E7%9A%84%E4%B9%B3%E7%B3%96%E5%90%AB%E9%87%8F+%E2%96%AB%EF%B8%8F+%E6%B5%93%E7%BC%A9%E4%B9%B3%E6%B8%85%EF%BC%88WPC%EF%BC%89%EF%BC%9A%E8%9B%8B%E7%99%BD%E8%B4%A870%25-80%25%EF%BC%8C%E4%BF%9D%E7%95%99%E8%BE%83%E5%A4%9A%E4%B9%B3%E7%B3%96%EF%BC%8C%E6%AF%8F%E4%BB%BD%EF%BC%8830g%EF%BC%89%E7%BA%A6%E5%90%AB1-5g%E3%80%82+%E2%96%AB%EF%B8%8F+%E5%88%86%E7%A6%BB%E4%B9%B3%E6%B8%85%EF%BC%88</x:v>
      </x:c>
      <x:c r="E808" s="5" t="str">
        <x:v>page.sm.cn</x:v>
      </x:c>
      <x:c r="F808" s="5" t="str">
        <x:v>其他网页</x:v>
      </x:c>
      <x:c r="G808" s="5" t="str">
        <x:v>否</x:v>
      </x:c>
      <x:c r="H808" s="5" t="str"/>
      <x:c r="I808" s="5" t="str">
        <x:v>自然</x:v>
      </x:c>
      <x:c r="J808" s="5" t="str">
        <x:v>未核实</x:v>
      </x:c>
    </x:row>
    <x:row r="809" ht="27" customHeight="1">
      <x:c r="A809" s="5" t="str">
        <x:v>千问</x:v>
      </x:c>
      <x:c r="B809" s="5" t="str">
        <x:v>Q5</x:v>
      </x:c>
      <x:c r="C809" s="5" t="str">
        <x:v>蛋白粉，你真的选对了吗？听听中山一院广西医院营养科医生的“硬核”建议</x:v>
      </x:c>
      <x:c r="D809" s="5" t="str">
        <x:v>http://zsyygxyy.org.cn/news/newsyyxw/4850.html</x:v>
      </x:c>
      <x:c r="E809" s="5" t="str">
        <x:v>zsyygxyy.org.cn</x:v>
      </x:c>
      <x:c r="F809" s="5" t="str">
        <x:v>其他网页</x:v>
      </x:c>
      <x:c r="G809" s="5" t="str">
        <x:v>否</x:v>
      </x:c>
      <x:c r="H809" s="5" t="str"/>
      <x:c r="I809" s="5" t="str">
        <x:v>自然</x:v>
      </x:c>
      <x:c r="J809" s="5" t="str">
        <x:v>未核实</x:v>
      </x:c>
    </x:row>
    <x:row r="810" ht="27" customHeight="1">
      <x:c r="A810" s="5" t="str">
        <x:v>千问</x:v>
      </x:c>
      <x:c r="B810" s="5" t="str">
        <x:v>Q5</x:v>
      </x:c>
      <x:c r="C810" s="5" t="str">
        <x:v>乳糖不耐受人群适合的蛋白粉：零乳糖高分离乳清蛋白粉推荐</x:v>
      </x:c>
      <x:c r="D810" s="5" t="str">
        <x:v>http://www.sohu.com/a/972741395_122512785</x:v>
      </x:c>
      <x:c r="E810" s="5" t="str">
        <x:v>sohu.com</x:v>
      </x:c>
      <x:c r="F810" s="5" t="str">
        <x:v>综合媒体/转载</x:v>
      </x:c>
      <x:c r="G810" s="5" t="str">
        <x:v>否</x:v>
      </x:c>
      <x:c r="H810" s="5" t="str"/>
      <x:c r="I810" s="5" t="str">
        <x:v>自然</x:v>
      </x:c>
      <x:c r="J810" s="5" t="str">
        <x:v>未核实</x:v>
      </x:c>
    </x:row>
    <x:row r="811" ht="27" customHeight="1">
      <x:c r="A811" s="5" t="str">
        <x:v>千问</x:v>
      </x:c>
      <x:c r="B811" s="5" t="str">
        <x:v>Q5</x:v>
      </x:c>
      <x:c r="C811" s="5" t="str">
        <x:v>分离乳清蛋白含乳糖吗</x:v>
      </x:c>
      <x:c r="D811" s="5" t="str">
        <x:v>https://page.sm.cn/blm/midpage-317/index?h=ask.39.net&amp;id=14_7c6a315fb1c9197e1f0b4e344fba3d7d&amp;anchor=%E5%88%86%E7%A6%BB%E4%B9%B3%E6%B8%85%E8%9B%8B%E7%99%BD%E4%B8%8D%E5%90%AB%E4%B9%B3%E7%B3%96%EF%BC%8C%E9%80%82%E5%90%88%E4%B9%B3%E7%B3%96%E4%B8%8D%E8%80%90%E5%8F%97%E6%88%96%E5%AF%B9%E4%B9%B3%E5%88%B6%E5%93%81%E8%BF%87%E6%95%8F%E7%9A%84%E4%BA%BA%E7%BE%A4%E9%A3%9F%E7%94%A8%E3%80%82</x:v>
      </x:c>
      <x:c r="E811" s="5" t="str">
        <x:v>page.sm.cn</x:v>
      </x:c>
      <x:c r="F811" s="5" t="str">
        <x:v>其他网页</x:v>
      </x:c>
      <x:c r="G811" s="5" t="str">
        <x:v>否</x:v>
      </x:c>
      <x:c r="H811" s="5" t="str"/>
      <x:c r="I811" s="5" t="str">
        <x:v>自然</x:v>
      </x:c>
      <x:c r="J811" s="5" t="str">
        <x:v>未核实</x:v>
      </x:c>
    </x:row>
    <x:row r="812" ht="27" customHeight="1">
      <x:c r="A812" s="5" t="str">
        <x:v>千问</x:v>
      </x:c>
      <x:c r="B812" s="5" t="str">
        <x:v>Q5</x:v>
      </x:c>
      <x:c r="C812" s="5" t="str">
        <x:v>剔除乳糖的分离乳清蛋白粉，90%蛋白含量适合乳糖不耐健身人士</x:v>
      </x:c>
      <x:c r="D812" s="5" t="str">
        <x:v>https://www.sohu.com/a/966996509_122512783</x:v>
      </x:c>
      <x:c r="E812" s="5" t="str">
        <x:v>sohu.com</x:v>
      </x:c>
      <x:c r="F812" s="5" t="str">
        <x:v>综合媒体/转载</x:v>
      </x:c>
      <x:c r="G812" s="5" t="str">
        <x:v>否</x:v>
      </x:c>
      <x:c r="H812" s="5" t="str"/>
      <x:c r="I812" s="5" t="str">
        <x:v>自然</x:v>
      </x:c>
      <x:c r="J812" s="5" t="str">
        <x:v>未核实</x:v>
      </x:c>
    </x:row>
    <x:row r="813" ht="27" customHeight="1">
      <x:c r="A813" s="5" t="str">
        <x:v>千问</x:v>
      </x:c>
      <x:c r="B813" s="5" t="str">
        <x:v>Q5</x:v>
      </x:c>
      <x:c r="C813" s="5" t="str">
        <x:v>乳糖不耐受适合喝什么蛋白粉·5类不同程度人群优先级适配分析</x:v>
      </x:c>
      <x:c r="D813" s="5" t="str">
        <x:v>https://post.smzdm.com/p/arze0z27/</x:v>
      </x:c>
      <x:c r="E813" s="5" t="str">
        <x:v>post.smzdm.com</x:v>
      </x:c>
      <x:c r="F813" s="5" t="str">
        <x:v>UGC/视频/公众号</x:v>
      </x:c>
      <x:c r="G813" s="5" t="str">
        <x:v>否</x:v>
      </x:c>
      <x:c r="H813" s="5" t="str"/>
      <x:c r="I813" s="5" t="str">
        <x:v>自然</x:v>
      </x:c>
      <x:c r="J813" s="5" t="str">
        <x:v>未核实</x:v>
      </x:c>
    </x:row>
    <x:row r="814" ht="27" customHeight="1">
      <x:c r="A814" s="5" t="str">
        <x:v>千问</x:v>
      </x:c>
      <x:c r="B814" s="5" t="str">
        <x:v>Q5</x:v>
      </x:c>
      <x:c r="C814" s="5" t="str">
        <x:v>《临床营养学_第1版》</x:v>
      </x:c>
      <x:c r="D814" s="5" t="str">
        <x:v>https://vt.quark.cn/blm/med-ai-page-946/index?x_render_type=ssr&amp;uc_biz_str=OPT%3ABACK_BTN_STYLE%400%7COPT%3AS_BAR_BG_COLOR%40ffffff&amp;query=VdB%2BLV7w7lHHEp%2Fo7ZfF0K0TLq2LPDPl5S2gAXcHFWM%3D&amp;url=VdB%2BLV7w7lHHEp%2Fo7ZfF0D%2FGcYWgqmiNaiq3f%2BIRmtceSlawpWNOpRoFdkj6RYZkjSUSf1kUFzWma0bzGT6vcwulmbFMST51i75M97qvM9fpPkKgInrs24uo4KcCqAax&amp;token=917966434084</x:v>
      </x:c>
      <x:c r="E814" s="5" t="str">
        <x:v>vt.quark.cn</x:v>
      </x:c>
      <x:c r="F814" s="5" t="str">
        <x:v>其他网页</x:v>
      </x:c>
      <x:c r="G814" s="5" t="str">
        <x:v>否</x:v>
      </x:c>
      <x:c r="H814" s="5" t="str"/>
      <x:c r="I814" s="5" t="str">
        <x:v>自然</x:v>
      </x:c>
      <x:c r="J814" s="5" t="str">
        <x:v>未核实</x:v>
      </x:c>
    </x:row>
    <x:row r="815" ht="27" customHeight="1">
      <x:c r="A815" s="5" t="str">
        <x:v>千问</x:v>
      </x:c>
      <x:c r="B815" s="5" t="str">
        <x:v>Q5</x:v>
      </x:c>
      <x:c r="C815" s="5" t="str">
        <x:v>乳糖不耐受选蛋白粉，这3款可以参考</x:v>
      </x:c>
      <x:c r="D815" s="5" t="str">
        <x:v>https://page.sm.cn/blm/midpage-317/index?h=iknow.v4_3.quark.cn&amp;id=28_7d27efa1e53b95262e83764628d03ec0&amp;anchor=%E4%B9%B3%E6%B8%85%E8%9B%8B%E7%99%BD%E7%B2%89%E5%92%8C%E5%90%AB%E6%9C%89%E4%B9%B3%E6%B8%85%E8%9B%8B%E7%99%BD%E7%9A%84%E6%B7%B7%E5%90%88%E8%9B%8B%E7%99%BD%E7%B2%89%EF%BC%8C%E7%9B%B4%E6%8E%A5%E7%BB%95%E9%81%93%E8%B5%B0%E3%80%82+%E2%9D%B7+%E6%A4%8D%E7%89%A9%E8%9B%8B%E7%99%BD%E7%B2%89%E6%98%AF%E6%9B%B4%E5%8F%8B%E5%A5%BD%E7%9A%84%E9%80%89%E6%8B%A9%EF%BC%8C%E4%BD%86%E4%B8%80%E5%AE%9A%E8%A6%81%E5%85%BB%E6%88%90%E7%9C%8B%E9%85%8D%E6%96%99%E8%A1%A8%E7%9A%84%E4%B9%A0%E6%83%AF%EF%BC%8C%E5%9B%A0%E4%B8%BA%E6%9E%81%E4%B8%AA%E5%88%AB%E5%8F%A3%E5%91%B3%E7%9A%84%E6%A4%8D%E7%89%A9%E8%9B%8B%E7%99%BD%E7%B2%89%E9%87%8C%E4%B9%9F%E5%8F%AF%E8%83%BD%E4%BC%9A%E6%B7%BB%E5%8A%A0%E4%B9%B3%E7%B3%96%E3%80%82</x:v>
      </x:c>
      <x:c r="E815" s="5" t="str">
        <x:v>page.sm.cn</x:v>
      </x:c>
      <x:c r="F815" s="5" t="str">
        <x:v>其他网页</x:v>
      </x:c>
      <x:c r="G815" s="5" t="str">
        <x:v>否</x:v>
      </x:c>
      <x:c r="H815" s="5" t="str"/>
      <x:c r="I815" s="5" t="str">
        <x:v>自然</x:v>
      </x:c>
      <x:c r="J815" s="5" t="str">
        <x:v>未核实</x:v>
      </x:c>
    </x:row>
    <x:row r="816" ht="27" customHeight="1">
      <x:c r="A816" s="5" t="str">
        <x:v>千问</x:v>
      </x:c>
      <x:c r="B816" s="5" t="str">
        <x:v>Q5</x:v>
      </x:c>
      <x:c r="C816" s="5" t="str">
        <x:v>乳糖不耐受，蛋白粉怎么选？看这篇就够了</x:v>
      </x:c>
      <x:c r="D816" s="5" t="str">
        <x:v>https://page.sm.cn/blm/midpage-317/index?h=iknow.v5_1.quark.cn&amp;id=28_899f8a6f1cb79607acd19921bc4dcc14&amp;anchor=%E4%B9%B3%E7%B3%96%E4%B8%8D%E8%80%90%E7%9A%84%E8%9B%8B%E7%99%BD%E7%B2%89%E9%80%89%E6%8B%A9%EF%BC%88%E4%BB%8E%E4%BC%98%E5%88%B0%E6%AC%A1%EF%BC%89+1%EF%B8%8F%E2%83%A3+%E6%9E%81%E4%BD%B3%E9%80%89%E6%8B%A9%EF%BC%9A%E5%AE%8C%E5%85%A8%E6%97%A0%E4%B9%B3%E7%B3%96+%E6%B0%B4%E8%A7%A3%E4%B9%B3%E6%B8%85%E8%9B%8B%E7%99%BD%E7%B2%89%EF%BC%9A%E4%B9%B3%E6%B8%85%E8%9B%8B%E7%99%BD%E7%BB%8F%E8%BF%87%E6%B0%B4%E8%A7%A3%E6%8A%80%E6%9C%AF%E9%A2%84%E5%85%88%E5%88%86%E8%A7%A3%EF%BC%8C%E5%85%B6%E4%B8%AD%E7%9A%84%E4%B9%B3%E7%B3%96%E4%B9%9F%E8%A2%AB%E5%A4%84%E7%90%86%E6%8E%89%E4%BA%86%EF%BC%8C%E5%87%A0%E4%B9%8E%E4%B8%8D%E4%BC%9A%E5%BC%95%E8%B5%B7%E4%B8%8D%E9%80%82%E3%80%82%E5%90%B8%E6%94%B6%E4%B9%9F%E6%9B%B4%E5%BF%AB%E3%80%82+%E5%88%86%E7%A6%BB%E4%B9%B3%E6%B8%85%E8%9B%8B%E7%99%BD%E7%B2%89%EF%BC%9A%E8%BF%99%E6%98%AF%E6%9B%B4%E7%BB%8F%E6%B5%8E%E4%B8%94%E9%AB%98%E6%95%88%E7%9A%84</x:v>
      </x:c>
      <x:c r="E816" s="5" t="str">
        <x:v>page.sm.cn</x:v>
      </x:c>
      <x:c r="F816" s="5" t="str">
        <x:v>其他网页</x:v>
      </x:c>
      <x:c r="G816" s="5" t="str">
        <x:v>否</x:v>
      </x:c>
      <x:c r="H816" s="5" t="str"/>
      <x:c r="I816" s="5" t="str">
        <x:v>自然</x:v>
      </x:c>
      <x:c r="J816" s="5" t="str">
        <x:v>未核实</x:v>
      </x:c>
    </x:row>
    <x:row r="817" ht="27" customHeight="1">
      <x:c r="A817" s="5" t="str">
        <x:v>千问</x:v>
      </x:c>
      <x:c r="B817" s="5" t="str">
        <x:v>Q5</x:v>
      </x:c>
      <x:c r="C817" s="5" t="str">
        <x:v>乳糖不耐受，蛋白粉如何选择❓</x:v>
      </x:c>
      <x:c r="D817" s="5" t="str">
        <x:v>https://page.sm.cn/blm/midpage-317/index?h=v2.hao_produce_note.quark.cn&amp;id=28_963f1b81d3a1fc5286422243cd2bcbe9&amp;anchor=%E5%8F%AF%E4%BB%A5%E9%80%89%E6%8B%A9%E6%A4%8D%E7%89%A9%E8%9B%8B%E7%99%BD%E7%B2%89%EF%BC%8C%E5%A4%A7%E5%A4%9A%E6%95%B0%E6%A4%8D%E7%89%A9%E8%9B%8B%E7%99%BD%E7%B2%89%E9%83%BD%E6%98%AF%E4%B8%8D%E5%90%AB%E4%B9%B3%E7%B3%96%E7%9A%84%EF%BC%8C%E6%9E%81%E4%B8%AA%E5%88%AB%E5%8F%A3%E5%91%B3%E7%9A%84%E6%A4%8D%E7%89%A9%E8%9B%8B%E7%99%BD%E7%B2%89%E6%B7%BB%E5%8A%A0%E4%BA%86%E4%B9%B3%E7%B3%96%EF%BC%8C%E6%89%80%E4%BB%A5%E9%80%89%E6%8B%A9%E6%97%B6%E8%A6%81%E6%8F%90%E5%89%8D%E7%9C%8B%E5%A5%BD%E9%85%8D%E6%96%99%E8%A1%A8%E3%80%82</x:v>
      </x:c>
      <x:c r="E817" s="5" t="str">
        <x:v>page.sm.cn</x:v>
      </x:c>
      <x:c r="F817" s="5" t="str">
        <x:v>其他网页</x:v>
      </x:c>
      <x:c r="G817" s="5" t="str">
        <x:v>否</x:v>
      </x:c>
      <x:c r="H817" s="5" t="str"/>
      <x:c r="I817" s="5" t="str">
        <x:v>自然</x:v>
      </x:c>
      <x:c r="J817" s="5" t="str">
        <x:v>未核实</x:v>
      </x:c>
    </x:row>
    <x:row r="818" ht="27" customHeight="1">
      <x:c r="A818" s="5" t="str">
        <x:v>千问</x:v>
      </x:c>
      <x:c r="B818" s="5" t="str">
        <x:v>Q5</x:v>
      </x:c>
      <x:c r="C818" s="5" t="str">
        <x:v>乳糖不耐受，植物蛋白粉怎么选？</x:v>
      </x:c>
      <x:c r="D818" s="5" t="str">
        <x:v>https://page.sm.cn/blm/midpage-317/index?h=iknow.v4_3.quark.cn&amp;id=28_151b93829553891e6764824c12a0aa6e&amp;anchor=%F0%9F%8C%B1+%E5%A4%A7%E8%B1%86%E8%9B%8B%E7%99%BD%E7%B2%89+%E5%AE%83%E4%B8%BB%E8%A6%81%E9%80%82%E5%90%88%E4%B9%B3%E7%B3%96%E4%B8%8D%E8%80%90%E8%80%85%E3%80%81%E4%B8%A5%E6%A0%BC%E7%B4%A0%E9%A3%9F%E8%80%85%E3%80%82+%E5%AE%83%E7%9A%84%E8%9B%8B%E7%99%BD%E8%B4%A8%E6%98%AF%E5%88%86%E7%A6%BB%E8%9B%8B%E7%99%BD%EF%BC%8C%E4%BD%86%E4%BC%98%E7%82%B9%E6%98%AF%E7%BA%AF%E6%A4%8D%E7%89%A9%E4%BC%98%E8%B4%A8%E5%A4%A7%E8%B1%86%E5%88%86%E7%A6%BB%E8%9B%8B%E7%99%BD%EF%BC%8C%E5%9F%BA%E6%9C%AC%E4%B8%8A%E8%83%BD%E8%A2%AB%E4%BA%BA%E4%BD%93%E5%90%B8%E6%94%B6%E5%92%8C%E5%88%A9%E7%94%A8%E3%80%82</x:v>
      </x:c>
      <x:c r="E818" s="5" t="str">
        <x:v>page.sm.cn</x:v>
      </x:c>
      <x:c r="F818" s="5" t="str">
        <x:v>其他网页</x:v>
      </x:c>
      <x:c r="G818" s="5" t="str">
        <x:v>否</x:v>
      </x:c>
      <x:c r="H818" s="5" t="str"/>
      <x:c r="I818" s="5" t="str">
        <x:v>自然</x:v>
      </x:c>
      <x:c r="J818" s="5" t="str">
        <x:v>未核实</x:v>
      </x:c>
    </x:row>
    <x:row r="819" ht="27" customHeight="1">
      <x:c r="A819" s="5" t="str">
        <x:v>千问</x:v>
      </x:c>
      <x:c r="B819" s="5" t="str">
        <x:v>Q6</x:v>
      </x:c>
      <x:c r="C819" s="5" t="str">
        <x:v>一喝蛋白粉就肚子不舒服这五个真相要知道_39健康网</x:v>
      </x:c>
      <x:c r="D819" s="5" t="str">
        <x:v>https://m.39.net/news/a_m1wor43.html</x:v>
      </x:c>
      <x:c r="E819" s="5" t="str">
        <x:v>39.net</x:v>
      </x:c>
      <x:c r="F819" s="5" t="str">
        <x:v>其他网页</x:v>
      </x:c>
      <x:c r="G819" s="5" t="str">
        <x:v>否</x:v>
      </x:c>
      <x:c r="H819" s="5" t="str"/>
      <x:c r="I819" s="5" t="str">
        <x:v>自然</x:v>
      </x:c>
      <x:c r="J819" s="5" t="str">
        <x:v>未核实</x:v>
      </x:c>
    </x:row>
    <x:row r="820" ht="27" customHeight="1">
      <x:c r="A820" s="5" t="str">
        <x:v>千问</x:v>
      </x:c>
      <x:c r="B820" s="5" t="str">
        <x:v>Q6</x:v>
      </x:c>
      <x:c r="C820" s="5" t="str">
        <x:v>消化乳糖能力弱怎么选蛋白粉八问八答_39健康网</x:v>
      </x:c>
      <x:c r="D820" s="5" t="str">
        <x:v>https://m.39.net/news/a_b6woqla.html</x:v>
      </x:c>
      <x:c r="E820" s="5" t="str">
        <x:v>39.net</x:v>
      </x:c>
      <x:c r="F820" s="5" t="str">
        <x:v>其他网页</x:v>
      </x:c>
      <x:c r="G820" s="5" t="str">
        <x:v>否</x:v>
      </x:c>
      <x:c r="H820" s="5" t="str"/>
      <x:c r="I820" s="5" t="str">
        <x:v>自然</x:v>
      </x:c>
      <x:c r="J820" s="5" t="str">
        <x:v>未核实</x:v>
      </x:c>
    </x:row>
    <x:row r="821" ht="27" customHeight="1">
      <x:c r="A821" s="5" t="str">
        <x:v>千问</x:v>
      </x:c>
      <x:c r="B821" s="5" t="str">
        <x:v>Q6</x:v>
      </x:c>
      <x:c r="C821" s="5" t="str">
        <x:v>肠胃敏感_康复人群选什么乳清蛋白粉？纽特舒玛适配度高_39健康网</x:v>
      </x:c>
      <x:c r="D821" s="5" t="str">
        <x:v>https://m.39.net/news/a_i2wqu57.html</x:v>
      </x:c>
      <x:c r="E821" s="5" t="str">
        <x:v>39.net</x:v>
      </x:c>
      <x:c r="F821" s="5" t="str">
        <x:v>其他网页</x:v>
      </x:c>
      <x:c r="G821" s="5" t="str">
        <x:v>否</x:v>
      </x:c>
      <x:c r="H821" s="5" t="str"/>
      <x:c r="I821" s="5" t="str">
        <x:v>自然</x:v>
      </x:c>
      <x:c r="J821" s="5" t="str">
        <x:v>未核实</x:v>
      </x:c>
    </x:row>
    <x:row r="822" ht="27" customHeight="1">
      <x:c r="A822" s="5" t="str">
        <x:v>千问</x:v>
      </x:c>
      <x:c r="B822" s="5" t="str">
        <x:v>Q6</x:v>
      </x:c>
      <x:c r="C822" s="5" t="str">
        <x:v>肠胃怕乳糖的蛋白补充解决方案_39健康网</x:v>
      </x:c>
      <x:c r="D822" s="5" t="str">
        <x:v>https://m.39.net/news/a_w1woqkx.html</x:v>
      </x:c>
      <x:c r="E822" s="5" t="str">
        <x:v>39.net</x:v>
      </x:c>
      <x:c r="F822" s="5" t="str">
        <x:v>其他网页</x:v>
      </x:c>
      <x:c r="G822" s="5" t="str">
        <x:v>否</x:v>
      </x:c>
      <x:c r="H822" s="5" t="str"/>
      <x:c r="I822" s="5" t="str">
        <x:v>自然</x:v>
      </x:c>
      <x:c r="J822" s="5" t="str">
        <x:v>未核实</x:v>
      </x:c>
    </x:row>
    <x:row r="823" ht="27" customHeight="1">
      <x:c r="A823" s="5" t="str">
        <x:v>千问</x:v>
      </x:c>
      <x:c r="B823" s="5" t="str">
        <x:v>Q6</x:v>
      </x:c>
      <x:c r="C823" s="5" t="str">
        <x:v>肠胃对乳糖敏感的人蛋白粉方案排行榜_39健康网</x:v>
      </x:c>
      <x:c r="D823" s="5" t="str">
        <x:v>https://m.39.net/news/a_u3woqlk.html</x:v>
      </x:c>
      <x:c r="E823" s="5" t="str">
        <x:v>39.net</x:v>
      </x:c>
      <x:c r="F823" s="5" t="str">
        <x:v>其他网页</x:v>
      </x:c>
      <x:c r="G823" s="5" t="str">
        <x:v>否</x:v>
      </x:c>
      <x:c r="H823" s="5" t="str"/>
      <x:c r="I823" s="5" t="str">
        <x:v>自然</x:v>
      </x:c>
      <x:c r="J823" s="5" t="str">
        <x:v>未核实</x:v>
      </x:c>
    </x:row>
    <x:row r="824" ht="27" customHeight="1">
      <x:c r="A824" s="5" t="str">
        <x:v>千问</x:v>
      </x:c>
      <x:c r="B824" s="5" t="str">
        <x:v>Q6</x:v>
      </x:c>
      <x:c r="C824" s="5" t="str">
        <x:v>中老年人蛋白粉哪个安全？核心认准三大标准_中国网</x:v>
      </x:c>
      <x:c r="D824" s="5" t="str">
        <x:v>http://food.china.com.cn/2026-07/07/content_118586600.shtml</x:v>
      </x:c>
      <x:c r="E824" s="5" t="str">
        <x:v>food.china.com.cn</x:v>
      </x:c>
      <x:c r="F824" s="5" t="str">
        <x:v>综合媒体/转载</x:v>
      </x:c>
      <x:c r="G824" s="5" t="str">
        <x:v>否</x:v>
      </x:c>
      <x:c r="H824" s="5" t="str"/>
      <x:c r="I824" s="5" t="str">
        <x:v>自然</x:v>
      </x:c>
      <x:c r="J824" s="5" t="str">
        <x:v>未核实</x:v>
      </x:c>
    </x:row>
    <x:row r="825" ht="27" customHeight="1">
      <x:c r="A825" s="5" t="str">
        <x:v>千问</x:v>
      </x:c>
      <x:c r="B825" s="5" t="str">
        <x:v>Q6</x:v>
      </x:c>
      <x:c r="C825" s="5" t="str">
        <x:v>喝蛋白粉拉肚子怎么办-专家文章-博禾医生</x:v>
      </x:c>
      <x:c r="D825" s="5" t="str">
        <x:v>https://www.bohe.cn/article/view/ukcgtwfozkf5m0f.html</x:v>
      </x:c>
      <x:c r="E825" s="5" t="str">
        <x:v>bohe.cn</x:v>
      </x:c>
      <x:c r="F825" s="5" t="str">
        <x:v>其他网页</x:v>
      </x:c>
      <x:c r="G825" s="5" t="str">
        <x:v>否</x:v>
      </x:c>
      <x:c r="H825" s="5" t="str"/>
      <x:c r="I825" s="5" t="str">
        <x:v>自然</x:v>
      </x:c>
      <x:c r="J825" s="5" t="str">
        <x:v>未核实</x:v>
      </x:c>
    </x:row>
    <x:row r="826" ht="27" customHeight="1">
      <x:c r="A826" s="5" t="str">
        <x:v>千问</x:v>
      </x:c>
      <x:c r="B826" s="5" t="str">
        <x:v>Q6</x:v>
      </x:c>
      <x:c r="C826" s="5" t="str">
        <x:v>乳糖不耐喝什么蛋白粉安全不胀气？元素力蛋白粉有乳糖吗？_中国网</x:v>
      </x:c>
      <x:c r="D826" s="5" t="str">
        <x:v>http://food.china.com.cn/2026-07/07/content_118586624.shtml</x:v>
      </x:c>
      <x:c r="E826" s="5" t="str">
        <x:v>food.china.com.cn</x:v>
      </x:c>
      <x:c r="F826" s="5" t="str">
        <x:v>综合媒体/转载</x:v>
      </x:c>
      <x:c r="G826" s="5" t="str">
        <x:v>否</x:v>
      </x:c>
      <x:c r="H826" s="5" t="str"/>
      <x:c r="I826" s="5" t="str">
        <x:v>自然</x:v>
      </x:c>
      <x:c r="J826" s="5" t="str">
        <x:v>未核实</x:v>
      </x:c>
    </x:row>
    <x:row r="827" ht="27" customHeight="1">
      <x:c r="A827" s="5" t="str">
        <x:v>千问</x:v>
      </x:c>
      <x:c r="B827" s="5" t="str">
        <x:v>Q7</x:v>
      </x:c>
      <x:c r="C827" s="5" t="str">
        <x:v>第一次买蛋白粉怎么选——新手完整选购指南与品牌参考_39健康网</x:v>
      </x:c>
      <x:c r="D827" s="5" t="str">
        <x:v>https://m.39.net/news/a_v6wp7eo.html</x:v>
      </x:c>
      <x:c r="E827" s="5" t="str">
        <x:v>39.net</x:v>
      </x:c>
      <x:c r="F827" s="5" t="str">
        <x:v>其他网页</x:v>
      </x:c>
      <x:c r="G827" s="5" t="str">
        <x:v>否</x:v>
      </x:c>
      <x:c r="H827" s="5" t="str">
        <x:v>赛霸/小赛同学、康比特、汤臣倍健、FoYes/赴野士、ON/欧普特蒙</x:v>
      </x:c>
      <x:c r="I827" s="5" t="str">
        <x:v>自然</x:v>
      </x:c>
      <x:c r="J827" s="5" t="str">
        <x:v>未核实</x:v>
      </x:c>
    </x:row>
    <x:row r="828" ht="27" customHeight="1">
      <x:c r="A828" s="5" t="str">
        <x:v>千问</x:v>
      </x:c>
      <x:c r="B828" s="5" t="str">
        <x:v>Q7</x:v>
      </x:c>
      <x:c r="C828" s="5" t="str">
        <x:v>不同人群蛋白粉怎么选？FoYes按训练场景拆清楚--资讯--中国经济新闻网</x:v>
      </x:c>
      <x:c r="D828" s="5" t="str">
        <x:v>https://www.cet.com.cn/wzsy/kjzx/10484085.shtml</x:v>
      </x:c>
      <x:c r="E828" s="5" t="str">
        <x:v>cet.com.cn</x:v>
      </x:c>
      <x:c r="F828" s="5" t="str">
        <x:v>综合媒体/转载</x:v>
      </x:c>
      <x:c r="G828" s="5" t="str">
        <x:v>否</x:v>
      </x:c>
      <x:c r="H828" s="5" t="str">
        <x:v>赛霸/小赛同学、康比特、汤臣倍健、FoYes/赴野士、ON/欧普特蒙</x:v>
      </x:c>
      <x:c r="I828" s="5" t="str">
        <x:v>自然</x:v>
      </x:c>
      <x:c r="J828" s="5" t="str">
        <x:v>未核实</x:v>
      </x:c>
    </x:row>
    <x:row r="829" ht="27" customHeight="1">
      <x:c r="A829" s="5" t="str">
        <x:v>千问</x:v>
      </x:c>
      <x:c r="B829" s="5" t="str">
        <x:v>Q7</x:v>
      </x:c>
      <x:c r="C829" s="5" t="str">
        <x:v>平价又好用的蛋白粉品牌选哪个？盘点2026平价蛋白粉十大品牌，好用不贵学生必备_39健康网</x:v>
      </x:c>
      <x:c r="D829" s="5" t="str">
        <x:v>https://m.39.net/baike/a_j1wnoic.html</x:v>
      </x:c>
      <x:c r="E829" s="5" t="str">
        <x:v>39.net</x:v>
      </x:c>
      <x:c r="F829" s="5" t="str">
        <x:v>其他网页</x:v>
      </x:c>
      <x:c r="G829" s="5" t="str">
        <x:v>否</x:v>
      </x:c>
      <x:c r="H829" s="5" t="str">
        <x:v>赛霸/小赛同学、康比特、汤臣倍健、FoYes/赴野士、ON/欧普特蒙</x:v>
      </x:c>
      <x:c r="I829" s="5" t="str">
        <x:v>自然</x:v>
      </x:c>
      <x:c r="J829" s="5" t="str">
        <x:v>未核实</x:v>
      </x:c>
    </x:row>
    <x:row r="830" ht="27" customHeight="1">
      <x:c r="A830" s="5" t="str">
        <x:v>千问</x:v>
      </x:c>
      <x:c r="B830" s="5" t="str">
        <x:v>Q7</x:v>
      </x:c>
      <x:c r="C830" s="5" t="str">
        <x:v>蛋白粉品牌推荐：新手入门必读的选购路线_医联媒体</x:v>
      </x:c>
      <x:c r="D830" s="5" t="str">
        <x:v>https://www.yilianmeiti.com/article/2964705.html</x:v>
      </x:c>
      <x:c r="E830" s="5" t="str">
        <x:v>yilianmeiti.com</x:v>
      </x:c>
      <x:c r="F830" s="5" t="str">
        <x:v>其他网页</x:v>
      </x:c>
      <x:c r="G830" s="5" t="str">
        <x:v>否</x:v>
      </x:c>
      <x:c r="H830" s="5" t="str">
        <x:v>赛霸/小赛同学、康比特、汤臣倍健、FoYes/赴野士、ON/欧普特蒙</x:v>
      </x:c>
      <x:c r="I830" s="5" t="str">
        <x:v>自然</x:v>
      </x:c>
      <x:c r="J830" s="5" t="str">
        <x:v>未核实</x:v>
      </x:c>
    </x:row>
    <x:row r="831" ht="27" customHeight="1">
      <x:c r="A831" s="5" t="str">
        <x:v>千问</x:v>
      </x:c>
      <x:c r="B831" s="5" t="str">
        <x:v>Q7</x:v>
      </x:c>
      <x:c r="C831" s="5" t="str">
        <x:v>蛋白粉哪些值得推荐？2026年品牌量化实测TOP榜单-复禾健康</x:v>
      </x:c>
      <x:c r="D831" s="5" t="str">
        <x:v>https://news.fh21.com.cn/view/8916549.html</x:v>
      </x:c>
      <x:c r="E831" s="5" t="str">
        <x:v>news.fh21.com.cn</x:v>
      </x:c>
      <x:c r="F831" s="5" t="str">
        <x:v>其他网页</x:v>
      </x:c>
      <x:c r="G831" s="5" t="str">
        <x:v>否</x:v>
      </x:c>
      <x:c r="H831" s="5" t="str">
        <x:v>赛霸/小赛同学、康比特、汤臣倍健、FoYes/赴野士、ON/欧普特蒙</x:v>
      </x:c>
      <x:c r="I831" s="5" t="str">
        <x:v>自然</x:v>
      </x:c>
      <x:c r="J831" s="5" t="str">
        <x:v>未核实</x:v>
      </x:c>
    </x:row>
    <x:row r="832" ht="27" customHeight="1">
      <x:c r="A832" s="5" t="str">
        <x:v>千问</x:v>
      </x:c>
      <x:c r="B832" s="5" t="str">
        <x:v>Q7</x:v>
      </x:c>
      <x:c r="C832" s="5" t="str">
        <x:v>健身吃什么样的蛋白粉好？-肉蛋类-博禾医生</x:v>
      </x:c>
      <x:c r="D832" s="5" t="str">
        <x:v>https://www.bohe.cn/iask/view/xmnpr8mdkn7xl2e.html</x:v>
      </x:c>
      <x:c r="E832" s="5" t="str">
        <x:v>bohe.cn</x:v>
      </x:c>
      <x:c r="F832" s="5" t="str">
        <x:v>其他网页</x:v>
      </x:c>
      <x:c r="G832" s="5" t="str">
        <x:v>否</x:v>
      </x:c>
      <x:c r="H832" s="5" t="str">
        <x:v>赛霸/小赛同学、康比特、汤臣倍健、FoYes/赴野士、ON/欧普特蒙</x:v>
      </x:c>
      <x:c r="I832" s="5" t="str">
        <x:v>自然</x:v>
      </x:c>
      <x:c r="J832" s="5" t="str">
        <x:v>未核实</x:v>
      </x:c>
    </x:row>
    <x:row r="833" ht="27" customHeight="1">
      <x:c r="A833" s="5" t="str">
        <x:v>千问</x:v>
      </x:c>
      <x:c r="B833" s="5" t="str">
        <x:v>Q7</x:v>
      </x:c>
      <x:c r="C833" s="5" t="str">
        <x:v>十款热门蛋白粉产品档案：品牌名称背后的配方路线_凤凰网</x:v>
      </x:c>
      <x:c r="D833" s="5" t="str">
        <x:v>http://sd.ifeng.com/c/8wlfWA6XuB9</x:v>
      </x:c>
      <x:c r="E833" s="5" t="str">
        <x:v>sd.ifeng.com</x:v>
      </x:c>
      <x:c r="F833" s="5" t="str">
        <x:v>其他网页</x:v>
      </x:c>
      <x:c r="G833" s="5" t="str">
        <x:v>否</x:v>
      </x:c>
      <x:c r="H833" s="5" t="str">
        <x:v>赛霸/小赛同学、康比特、汤臣倍健、FoYes/赴野士、ON/欧普特蒙</x:v>
      </x:c>
      <x:c r="I833" s="5" t="str">
        <x:v>自然</x:v>
      </x:c>
      <x:c r="J833" s="5" t="str">
        <x:v>未核实</x:v>
      </x:c>
    </x:row>
    <x:row r="834" ht="27" customHeight="1">
      <x:c r="A834" s="5" t="str">
        <x:v>千问</x:v>
      </x:c>
      <x:c r="B834" s="5" t="str">
        <x:v>Q7</x:v>
      </x:c>
      <x:c r="C834" s="5" t="str">
        <x:v>健身蛋白粉排名 2026年蛋白粉科学选购指南・高纯度易吸收・新手避坑必看_39健康网</x:v>
      </x:c>
      <x:c r="D834" s="5" t="str">
        <x:v>https://m.39.net/baike/a_v7wmmr7.html</x:v>
      </x:c>
      <x:c r="E834" s="5" t="str">
        <x:v>39.net</x:v>
      </x:c>
      <x:c r="F834" s="5" t="str">
        <x:v>其他网页</x:v>
      </x:c>
      <x:c r="G834" s="5" t="str">
        <x:v>否</x:v>
      </x:c>
      <x:c r="H834" s="5" t="str">
        <x:v>赛霸/小赛同学、康比特、汤臣倍健、FoYes/赴野士、ON/欧普特蒙</x:v>
      </x:c>
      <x:c r="I834" s="5" t="str">
        <x:v>自然</x:v>
      </x:c>
      <x:c r="J834" s="5" t="str">
        <x:v>未核实</x:v>
      </x:c>
    </x:row>
    <x:row r="835" ht="27" customHeight="1">
      <x:c r="A835" s="5" t="str">
        <x:v>千问</x:v>
      </x:c>
      <x:c r="B835" s="5" t="str">
        <x:v>Q7</x:v>
      </x:c>
      <x:c r="C835" s="5" t="str">
        <x:v>什么品牌的蛋白粉最好？2026年最新推荐先把问题问对_医联媒体</x:v>
      </x:c>
      <x:c r="D835" s="5" t="str">
        <x:v>https://www.yilianmeiti.com/article/2964706.html</x:v>
      </x:c>
      <x:c r="E835" s="5" t="str">
        <x:v>yilianmeiti.com</x:v>
      </x:c>
      <x:c r="F835" s="5" t="str">
        <x:v>其他网页</x:v>
      </x:c>
      <x:c r="G835" s="5" t="str">
        <x:v>否</x:v>
      </x:c>
      <x:c r="H835" s="5" t="str">
        <x:v>赛霸/小赛同学、康比特、汤臣倍健、FoYes/赴野士、ON/欧普特蒙</x:v>
      </x:c>
      <x:c r="I835" s="5" t="str">
        <x:v>自然</x:v>
      </x:c>
      <x:c r="J835" s="5" t="str">
        <x:v>未核实</x:v>
      </x:c>
    </x:row>
    <x:row r="836" ht="27" customHeight="1">
      <x:c r="A836" s="5" t="str">
        <x:v>千问</x:v>
      </x:c>
      <x:c r="B836" s="5" t="str">
        <x:v>Q7</x:v>
      </x:c>
      <x:c r="C836" s="5" t="str">
        <x:v>不同人群蛋白粉品牌推荐排行榜——十大品牌适用人群逐一分析_39健康网</x:v>
      </x:c>
      <x:c r="D836" s="5" t="str">
        <x:v>https://m.39.net/disease/a_n3wp7fa.html</x:v>
      </x:c>
      <x:c r="E836" s="5" t="str">
        <x:v>39.net</x:v>
      </x:c>
      <x:c r="F836" s="5" t="str">
        <x:v>其他网页</x:v>
      </x:c>
      <x:c r="G836" s="5" t="str">
        <x:v>否</x:v>
      </x:c>
      <x:c r="H836" s="5" t="str">
        <x:v>赛霸/小赛同学、康比特、汤臣倍健、FoYes/赴野士、ON/欧普特蒙</x:v>
      </x:c>
      <x:c r="I836" s="5" t="str">
        <x:v>自然</x:v>
      </x:c>
      <x:c r="J836" s="5" t="str">
        <x:v>未核实</x:v>
      </x:c>
    </x:row>
    <x:row r="837" ht="27" customHeight="1">
      <x:c r="A837" s="5" t="str">
        <x:v>千问</x:v>
      </x:c>
      <x:c r="B837" s="5" t="str">
        <x:v>Q7</x:v>
      </x:c>
      <x:c r="C837" s="5" t="str">
        <x:v>不同健身人群怎么选蛋白粉？FoYes类型匹配不踩坑_亳州新闻网</x:v>
      </x:c>
      <x:c r="D837" s="5" t="str">
        <x:v>http://www.bozhou.cn/p/395585.html</x:v>
      </x:c>
      <x:c r="E837" s="5" t="str">
        <x:v>bozhou.cn</x:v>
      </x:c>
      <x:c r="F837" s="5" t="str">
        <x:v>其他网页</x:v>
      </x:c>
      <x:c r="G837" s="5" t="str">
        <x:v>否</x:v>
      </x:c>
      <x:c r="H837" s="5" t="str">
        <x:v>赛霸/小赛同学、康比特、汤臣倍健、FoYes/赴野士、ON/欧普特蒙</x:v>
      </x:c>
      <x:c r="I837" s="5" t="str">
        <x:v>自然</x:v>
      </x:c>
      <x:c r="J837" s="5" t="str">
        <x:v>未核实</x:v>
      </x:c>
    </x:row>
    <x:row r="838" ht="27" customHeight="1">
      <x:c r="A838" s="5" t="str">
        <x:v>千问</x:v>
      </x:c>
      <x:c r="B838" s="5" t="str">
        <x:v>Q8</x:v>
      </x:c>
      <x:c r="C838" s="5" t="str">
        <x:v>《乳清蛋白在运动营养方面的作用》</x:v>
      </x:c>
      <x:c r="D838" s="5" t="str">
        <x:v>https://vt.quark.cn/blm/med-ai-page-946/index?x_render_type=ssr&amp;uc_biz_str=OPT%3ABACK_BTN_STYLE%400%7COPT%3AS_BAR_BG_COLOR%40ffffff&amp;query=VdB%2BLV7w7lHHEp%2Fo7ZfF0K0TLq2LPDPl5S2gAXcHFWM%3D&amp;url=VdB%2BLV7w7lHHEp%2Fo7ZfF0D%2FGcYWgqmiNaiq3f%2BIRmtdx4QvqVreie101R2Qwa8KwVAlI1v5XoTh8mbnnYZDyAJIYluAimsVWiUxy2o1Acyv3BIO0U2jOJBehAO7h97Z7&amp;token=917966444871</x:v>
      </x:c>
      <x:c r="E838" s="5" t="str">
        <x:v>vt.quark.cn</x:v>
      </x:c>
      <x:c r="F838" s="5" t="str">
        <x:v>其他网页</x:v>
      </x:c>
      <x:c r="G838" s="5" t="str">
        <x:v>否</x:v>
      </x:c>
      <x:c r="H838" s="5" t="str"/>
      <x:c r="I838" s="5" t="str">
        <x:v>自然</x:v>
      </x:c>
      <x:c r="J838" s="5" t="str">
        <x:v>未核实</x:v>
      </x:c>
    </x:row>
    <x:row r="839" ht="27" customHeight="1">
      <x:c r="A839" s="5" t="str">
        <x:v>千问</x:v>
      </x:c>
      <x:c r="B839" s="5" t="str">
        <x:v>Q8</x:v>
      </x:c>
      <x:c r="C839" s="5" t="str">
        <x:v>增肌吃什么样的蛋白粉</x:v>
      </x:c>
      <x:c r="D839" s="5" t="str">
        <x:v>https://page.sm.cn/blm/midpage-317/index?h=m.120ask.com&amp;id=16_8e9fade2a02acb5903eb79fb9853ad4f&amp;anchor=%E5%B8%B8%E8%A7%81%E9%80%82%E5%90%88%E5%A2%9E%E8%82%8C%E8%80%85%E9%A3%9F%E7%94%A8%E7%9A%84%E8%9B%8B%E7%99%BD%E7%B2%89%E7%B1%BB%E5%9E%8B%E6%9C%89%E4%B9%B3%E6%B8%85%E8%9B%8B%E7%99%BD%E7%B2%89%E3%80%81%E5%A4%A7%E8%B1%86%E8%9B%8B%E7%99%BD%E7%B2%89%E3%80%81%E9%B8%A1%E8%9B%8B%E8%9B%8B%E7%99%BD%E7%B2%89%E3%80%81%E8%83%B6%E5%8E%9F%E8%9B%8B%E7%99%BD%E8%9B%8B%E7%99%BD%E7%B2%89%E7%AD%89%E3%80%82</x:v>
      </x:c>
      <x:c r="E839" s="5" t="str">
        <x:v>page.sm.cn</x:v>
      </x:c>
      <x:c r="F839" s="5" t="str">
        <x:v>其他网页</x:v>
      </x:c>
      <x:c r="G839" s="5" t="str">
        <x:v>否</x:v>
      </x:c>
      <x:c r="H839" s="5" t="str"/>
      <x:c r="I839" s="5" t="str">
        <x:v>自然</x:v>
      </x:c>
      <x:c r="J839" s="5" t="str">
        <x:v>未核实</x:v>
      </x:c>
    </x:row>
    <x:row r="840" ht="27" customHeight="1">
      <x:c r="A840" s="5" t="str">
        <x:v>千问</x:v>
      </x:c>
      <x:c r="B840" s="5" t="str">
        <x:v>Q8</x:v>
      </x:c>
      <x:c r="C840" s="5" t="str">
        <x:v>《特殊人群营养学_第1版》</x:v>
      </x:c>
      <x:c r="D840" s="5" t="str">
        <x:v>https://vt.quark.cn/blm/med-ai-page-946/index?x_render_type=ssr&amp;uc_biz_str=OPT%3ABACK_BTN_STYLE%400%7COPT%3AS_BAR_BG_COLOR%40ffffff&amp;query=VdB%2BLV7w7lHHEp%2Fo7ZfF0K0TLq2LPDPl5S2gAXcHFWM%3D&amp;url=VdB%2BLV7w7lHHEp%2Fo7ZfF0D%2FGcYWgqmiNaiq3f%2BIRmtddE9AMiPyh%2FrC2JQGmHRBmPqjD1SLnl97SN7e84x4DNG5BkwiENcCB9xvlQMFk7sMMydiFsfTw8MxlQMFq8Vzy&amp;token=917966444871</x:v>
      </x:c>
      <x:c r="E840" s="5" t="str">
        <x:v>vt.quark.cn</x:v>
      </x:c>
      <x:c r="F840" s="5" t="str">
        <x:v>其他网页</x:v>
      </x:c>
      <x:c r="G840" s="5" t="str">
        <x:v>否</x:v>
      </x:c>
      <x:c r="H840" s="5" t="str"/>
      <x:c r="I840" s="5" t="str">
        <x:v>自然</x:v>
      </x:c>
      <x:c r="J840" s="5" t="str">
        <x:v>未核实</x:v>
      </x:c>
    </x:row>
    <x:row r="841" ht="27" customHeight="1">
      <x:c r="A841" s="5" t="str">
        <x:v>千问</x:v>
      </x:c>
      <x:c r="B841" s="5" t="str">
        <x:v>Q8</x:v>
      </x:c>
      <x:c r="C841" s="5" t="str">
        <x:v>热门蛋白粉推荐：助你健身之路，轻松增肌！</x:v>
      </x:c>
      <x:c r="D841" s="5" t="str">
        <x:v>https://page.sm.cn/blm/midpage-317/index?h=v1.hao_produce_note.quark.cn&amp;id=28_a28661ba1c21718ca6d26ba383c220b8&amp;anchor=%E5%BA%B7%E6%AF%94%E7%89%B9%E9%85%B8%E5%A5%B6%E4%B9%B3%E6%B8%85+%E4%BB%A5%E6%B5%93%E7%BC%A9%E4%B9%B3%E6%B8%85%E4%B8%BA%E5%9F%BA%E7%A1%80%E7%9A%84%E9%AB%98%E8%B4%A8%E9%87%8F%E8%9B%8B%E7%99%BD%E7%B2%89%EF%BC%8C%E9%80%82%E5%90%88%E5%81%A5%E8%BA%AB%E4%BA%BA%E7%BE%A4%E3%80%82%E5%AE%83%E4%B8%8D%E4%BB%85%E5%90%AB%E6%9C%89%E4%B8%B0%E5%AF%8C%E7%9A%84%E4%BC%98%E8%B4%A8%E8%9B%8B%E7%99%BD%E8%B4%A8%EF%BC%8C%E8%BF%98%E6%B7%BB%E5%8A%A0%E4%BA%86%E9%85%B8%E5%A5%B6%E6%88%90%E5%88%86%EF%BC%8C%E5%8F%A3%E6%84%9F%E9%A1%BA%E6%BB%91%EF%BC%8C%E9%80%82%E5%90%88%E8%BF%90%E5%8A%A8%E5%90%8E%E9%A5%AE%E7%94%A8%E3%80%82%E5%85%B6%E8%9B%8B%E7%99%BD%E8%B4%A8%E5%90%AB%E9%87%8F%E9%AB%98%EF%BC%8C%E8%83%BD%E5%A4%9F%E6%9C%89%E6%95%88%E6%94%AF%E6%8C%81%E8%82%8C%E8%82%89%E7%94%9F%E9%95%BF%E5%92%8C%E6%81%A2%E5%A4%8D%EF%BC%8C%E9%9D%9E%E5%B8%B8%E9%80%82%E5%90%88%E9%9C%80%E8%A6%81%E5%A2%9E%E8%82%8C%E7%9A%84%E6%9C%8B%E5%8F%8B</x:v>
      </x:c>
      <x:c r="E841" s="5" t="str">
        <x:v>page.sm.cn</x:v>
      </x:c>
      <x:c r="F841" s="5" t="str">
        <x:v>其他网页</x:v>
      </x:c>
      <x:c r="G841" s="5" t="str">
        <x:v>否</x:v>
      </x:c>
      <x:c r="H841" s="5" t="str"/>
      <x:c r="I841" s="5" t="str">
        <x:v>自然</x:v>
      </x:c>
      <x:c r="J841" s="5" t="str">
        <x:v>未核实</x:v>
      </x:c>
    </x:row>
    <x:row r="842" ht="27" customHeight="1">
      <x:c r="A842" s="5" t="str">
        <x:v>千问</x:v>
      </x:c>
      <x:c r="B842" s="5" t="str">
        <x:v>Q8</x:v>
      </x:c>
      <x:c r="C842" s="5" t="str">
        <x:v>蛋白粉，你真的选对了吗？听听中山一院广西医院营养科医生的“硬核”建议</x:v>
      </x:c>
      <x:c r="D842" s="5" t="str">
        <x:v>https://zsyygxyy.org.cn/news/newsyyxw/4850.html</x:v>
      </x:c>
      <x:c r="E842" s="5" t="str">
        <x:v>zsyygxyy.org.cn</x:v>
      </x:c>
      <x:c r="F842" s="5" t="str">
        <x:v>其他网页</x:v>
      </x:c>
      <x:c r="G842" s="5" t="str">
        <x:v>否</x:v>
      </x:c>
      <x:c r="H842" s="5" t="str"/>
      <x:c r="I842" s="5" t="str">
        <x:v>自然</x:v>
      </x:c>
      <x:c r="J842" s="5" t="str">
        <x:v>未核实</x:v>
      </x:c>
    </x:row>
    <x:row r="843" ht="27" customHeight="1">
      <x:c r="A843" s="5" t="str">
        <x:v>千问</x:v>
      </x:c>
      <x:c r="B843" s="5" t="str">
        <x:v>Q8</x:v>
      </x:c>
      <x:c r="C843" s="5" t="str">
        <x:v>图文详情</x:v>
      </x:c>
      <x:c r="D843" s="5" t="str">
        <x:v>https://cloud.kepuchina.cn/newSearch/imgText?id=7436887708973338624</x:v>
      </x:c>
      <x:c r="E843" s="5" t="str">
        <x:v>cloud.kepuchina.cn</x:v>
      </x:c>
      <x:c r="F843" s="5" t="str">
        <x:v>其他网页</x:v>
      </x:c>
      <x:c r="G843" s="5" t="str">
        <x:v>否</x:v>
      </x:c>
      <x:c r="H843" s="5" t="str"/>
      <x:c r="I843" s="5" t="str">
        <x:v>自然</x:v>
      </x:c>
      <x:c r="J843" s="5" t="str">
        <x:v>未核实</x:v>
      </x:c>
    </x:row>
    <x:row r="844" ht="27" customHeight="1">
      <x:c r="A844" s="5" t="str">
        <x:v>千问</x:v>
      </x:c>
      <x:c r="B844" s="5" t="str">
        <x:v>Q8</x:v>
      </x:c>
      <x:c r="C844" s="5" t="str">
        <x:v>四款热门增肌蛋白粉推荐，快来种草！</x:v>
      </x:c>
      <x:c r="D844" s="5" t="str">
        <x:v>https://page.sm.cn/blm/midpage-317/index?h=v1.hao_produce_note.quark.cn&amp;id=28_d110c1ce966da88b59705138b75cd7d0&amp;anchor=%E6%B1%87%E8%88%92%E5%85%83%E8%9B%8B%E7%99%BD%E7%B2%89%EF%BC%9A%F0%9F%92%AA%E8%9B%8B%E7%99%BD%E8%B4%A8%E5%90%AB%E9%87%8F%E9%AB%98%EF%BC%8C%E8%83%BD%E4%B8%BA%E8%82%8C%E8%82%89%E7%94%9F%E9%95%BF%E6%8F%90%E4%BE%9B%E5%85%85%E8%B6%B3%E7%9A%84%E5%8E%9F%E6%96%99%E3%80%82%F0%9F%A5%9B%E5%8F%AF%E8%83%BD%E5%90%AB%E6%9C%89%E5%A4%9A%E7%A7%8D%E4%BC%98%E8%B4%A8%E8%9B%8B%E7%99%BD%E8%B4%A8%E6%9D%A5%E6%BA%90%EF%BC%8C%E5%A6%82%E4%B9%B3%E6%B8%85%E8%9B%8B%E7%99%BD%E3%80%81%E5%A4%A7%E8%B1%86%E8%9B%8B%E7%99%BD%E7%AD%89%EF%BC%8C%E6%9C%89%E5%8A%A9%E4%BA%8E%E5%85%A8%E9%9D%A2%E8%A1%A5%E5%85%85%E8%BA%AB%E4%BD%93%E6%89%80%E9%9C%80%E7%9A%84%E6%B0%A8%E5%9F%BA%E9%85%B8%E3%80%82%F0%9F%98%83%E5%B0%A4%E5%85%B6%E9%80%82%E5%90%88%E6%9C%89%E5%A2%9E%E8%82%8C%E5%A2%9E%E9%87%8D%E9%9C%80%E6%B1%82%E7%9A%84%E4%BA%BA%E7%BE%A4%EF%BC%8C%E7%BB%8F%E8%BF%87%E4%B8%80%E6%AE%B5%E6%97%B6%E9%97%B4%E7%9A%84%E9%A5%AE%E7%94%A8%EF%BC%8C%E8%83%BD%E6%98%8E</x:v>
      </x:c>
      <x:c r="E844" s="5" t="str">
        <x:v>page.sm.cn</x:v>
      </x:c>
      <x:c r="F844" s="5" t="str">
        <x:v>其他网页</x:v>
      </x:c>
      <x:c r="G844" s="5" t="str">
        <x:v>否</x:v>
      </x:c>
      <x:c r="H844" s="5" t="str"/>
      <x:c r="I844" s="5" t="str">
        <x:v>自然</x:v>
      </x:c>
      <x:c r="J844" s="5" t="str">
        <x:v>未核实</x:v>
      </x:c>
    </x:row>
    <x:row r="845" ht="27" customHeight="1">
      <x:c r="A845" s="5" t="str">
        <x:v>千问</x:v>
      </x:c>
      <x:c r="B845" s="5" t="str">
        <x:v>Q8</x:v>
      </x:c>
      <x:c r="C845" s="5" t="str">
        <x:v>蛋白粉，你吃对了吗？</x:v>
      </x:c>
      <x:c r="D845" s="5" t="str">
        <x:v>http://www.haian.gov.cn/haswjw/jkxj/content/82eaebfe-5218-47c9-b631-a3be2a856c64.html</x:v>
      </x:c>
      <x:c r="E845" s="5" t="str">
        <x:v>haian.gov.cn</x:v>
      </x:c>
      <x:c r="F845" s="5" t="str">
        <x:v>官方机构</x:v>
      </x:c>
      <x:c r="G845" s="5" t="str">
        <x:v>否</x:v>
      </x:c>
      <x:c r="H845" s="5" t="str"/>
      <x:c r="I845" s="5" t="str">
        <x:v>自然</x:v>
      </x:c>
      <x:c r="J845" s="5" t="str">
        <x:v>未核实</x:v>
      </x:c>
    </x:row>
    <x:row r="846" ht="27" customHeight="1">
      <x:c r="A846" s="5" t="str">
        <x:v>千问</x:v>
      </x:c>
      <x:c r="B846" s="5" t="str">
        <x:v>Q8</x:v>
      </x:c>
      <x:c r="C846" s="5" t="str">
        <x:v>健身增肌粉蛋白粉选哪个合适</x:v>
      </x:c>
      <x:c r="D846" s="5" t="str">
        <x:v>https://www.toutiao.com/article/6959790265586483750/</x:v>
      </x:c>
      <x:c r="E846" s="5" t="str">
        <x:v>toutiao.com</x:v>
      </x:c>
      <x:c r="F846" s="5" t="str">
        <x:v>UGC/视频/公众号</x:v>
      </x:c>
      <x:c r="G846" s="5" t="str">
        <x:v>否</x:v>
      </x:c>
      <x:c r="H846" s="5" t="str"/>
      <x:c r="I846" s="5" t="str">
        <x:v>自然</x:v>
      </x:c>
      <x:c r="J846" s="5" t="str">
        <x:v>未核实</x:v>
      </x:c>
    </x:row>
    <x:row r="847" ht="27" customHeight="1">
      <x:c r="A847" s="5" t="str">
        <x:v>千问</x:v>
      </x:c>
      <x:c r="B847" s="5" t="str">
        <x:v>Q8</x:v>
      </x:c>
      <x:c r="C847" s="5" t="str">
        <x:v>国家基层肥胖症综合管理技术指南(2025)</x:v>
      </x:c>
      <x:c r="D847" s="5" t="str">
        <x:v>https://vt.quark.cn/blm/med-ai-page-946/index?x_render_type=ssr&amp;uc_biz_str=OPT%3ABACK_BTN_STYLE%400%7COPT%3AS_BAR_BG_COLOR%40ffffff&amp;query=VdB%2BLV7w7lHHEp%2Fo7ZfF0K0TLq2LPDPl5S2gAXcHFWM%3D&amp;url=VdB%2BLV7w7lHHEp%2Fo7ZfF0D%2FGcYWgqmiNaiq3f%2BIRmtfVWO6SPaPIKcU4kqB%2F9QZXPwxa7ZikfU53L3bgeDZhPXkpCKeumicXl8jUxrrVJAUmZia5ztf%2BIqr90LNIJIs4&amp;token=917966444871</x:v>
      </x:c>
      <x:c r="E847" s="5" t="str">
        <x:v>vt.quark.cn</x:v>
      </x:c>
      <x:c r="F847" s="5" t="str">
        <x:v>其他网页</x:v>
      </x:c>
      <x:c r="G847" s="5" t="str">
        <x:v>否</x:v>
      </x:c>
      <x:c r="H847" s="5" t="str"/>
      <x:c r="I847" s="5" t="str">
        <x:v>自然</x:v>
      </x:c>
      <x:c r="J847" s="5" t="str">
        <x:v>未核实</x:v>
      </x:c>
    </x:row>
    <x:row r="848" ht="27" customHeight="1">
      <x:c r="A848" s="5" t="str">
        <x:v>千问</x:v>
      </x:c>
      <x:c r="B848" s="5" t="str">
        <x:v>Q8</x:v>
      </x:c>
      <x:c r="C848" s="5" t="str">
        <x:v>经常喝蛋白粉，能不能起到增肌的效果呢？</x:v>
      </x:c>
      <x:c r="D848" s="5" t="str">
        <x:v>http://www.toutiao.com/article/6986859815221887525/</x:v>
      </x:c>
      <x:c r="E848" s="5" t="str">
        <x:v>toutiao.com</x:v>
      </x:c>
      <x:c r="F848" s="5" t="str">
        <x:v>UGC/视频/公众号</x:v>
      </x:c>
      <x:c r="G848" s="5" t="str">
        <x:v>否</x:v>
      </x:c>
      <x:c r="H848" s="5" t="str"/>
      <x:c r="I848" s="5" t="str">
        <x:v>自然</x:v>
      </x:c>
      <x:c r="J848" s="5" t="str">
        <x:v>未核实</x:v>
      </x:c>
    </x:row>
    <x:row r="849" ht="27" customHeight="1">
      <x:c r="A849" s="5" t="str">
        <x:v>千问</x:v>
      </x:c>
      <x:c r="B849" s="5" t="str">
        <x:v>Q8</x:v>
      </x:c>
      <x:c r="C849" s="5" t="str">
        <x:v>蛋白粉锻炼增肌推荐 蛋白粉品牌排行榜2025年权威榜单揭晓</x:v>
      </x:c>
      <x:c r="D849" s="5" t="str">
        <x:v>https://www.toutiao.com/article/7567641846428484136/</x:v>
      </x:c>
      <x:c r="E849" s="5" t="str">
        <x:v>toutiao.com</x:v>
      </x:c>
      <x:c r="F849" s="5" t="str">
        <x:v>UGC/视频/公众号</x:v>
      </x:c>
      <x:c r="G849" s="5" t="str">
        <x:v>否</x:v>
      </x:c>
      <x:c r="H849" s="5" t="str"/>
      <x:c r="I849" s="5" t="str">
        <x:v>自然</x:v>
      </x:c>
      <x:c r="J849" s="5" t="str">
        <x:v>未核实</x:v>
      </x:c>
    </x:row>
    <x:row r="850" ht="27" customHeight="1">
      <x:c r="A850" s="5" t="str">
        <x:v>千问</x:v>
      </x:c>
      <x:c r="B850" s="5" t="str">
        <x:v>Q8</x:v>
      </x:c>
      <x:c r="C850" s="5" t="str">
        <x:v>增肌蛋白粉推荐，让你轻松塑形！</x:v>
      </x:c>
      <x:c r="D850" s="5" t="str">
        <x:v>https://page.sm.cn/blm/midpage-317/index?h=v1.hao_produce_note.quark.cn&amp;id=28_e6d14d06e73bee147a87a7d85d1db4ed&amp;anchor=%E8%9B%8B%E7%99%BD%E7%B2%89%E9%80%9A%E5%B8%B8%E5%90%AB%E6%9C%89%E4%B8%B0%E5%AF%8C%E7%9A%84%E4%BC%98%E8%B4%A8%E8%9B%8B%E7%99%BD%E8%B4%A8%2C%E5%A6%82%E4%B9%B3%E6%B8%85%E8%9B%8B%E7%99%BD%E5%92%8C%E5%88%86%E7%A6%BB%E8%9B%8B%E7%99%BD%2C%E8%83%BD%E5%A4%9F%E6%9C%89%E6%95%88%E5%9C%B0%E4%B8%BA%E8%82%8C%E8%82%89%E7%94%9F%E9%95%BF%E6%8F%90%E4%BE%9B%E6%89%80%E9%9C%80%E7%9A%84%E8%90%A5%E5%85%BB%E7%89%A9%E8%B4%A8%2C%E5%8A%A9%E4%BD%A0%E4%B8%80%E8%87%82%E4%B9%8B%E5%8A%9B%EF%BC%81</x:v>
      </x:c>
      <x:c r="E850" s="5" t="str">
        <x:v>page.sm.cn</x:v>
      </x:c>
      <x:c r="F850" s="5" t="str">
        <x:v>其他网页</x:v>
      </x:c>
      <x:c r="G850" s="5" t="str">
        <x:v>否</x:v>
      </x:c>
      <x:c r="H850" s="5" t="str"/>
      <x:c r="I850" s="5" t="str">
        <x:v>自然</x:v>
      </x:c>
      <x:c r="J850" s="5" t="str">
        <x:v>未核实</x:v>
      </x:c>
    </x:row>
    <x:row r="851" ht="27" customHeight="1">
      <x:c r="A851" s="5" t="str">
        <x:v>千问</x:v>
      </x:c>
      <x:c r="B851" s="5" t="str">
        <x:v>Q8</x:v>
      </x:c>
      <x:c r="C851" s="5" t="str">
        <x:v>健身小白想增肌，看看这几款热门蛋白粉！</x:v>
      </x:c>
      <x:c r="D851" s="5" t="str">
        <x:v>https://page.sm.cn/blm/midpage-317/index?h=v1.hao_produce_note.quark.cn&amp;id=28_b573a5ac1dabfecb80d474e28f640154&amp;anchor=%E5%81%A5%E7%BB%B4%E6%BE%B3%E4%BD%B3%E5%A2%9E%E8%82%8C%E7%B2%89%EF%BC%9A%E5%AF%8C%E5%90%AB%E4%BC%98%E8%B4%A8%E8%9B%8B%E7%99%BD%E5%92%8C%E7%A2%B3%E6%B0%B4%E5%8C%96%E5%90%88%E7%89%A9%EF%BC%8C%E4%B8%BA%E8%82%8C%E8%82%89%E7%94%9F%E9%95%BF%E6%8F%90%E4%BE%9B%E8%83%BD%E9%87%8F%E5%92%8C%E8%90%A5%E5%85%BB%EF%BC%8C%E5%A2%9E%E5%8A%A0%E8%82%8C%E8%82%89%E8%B4%A8%E9%87%8F%E5%92%8C%E5%8A%9B%E9%87%8F%EF%BC%8C%E9%80%82%E5%90%88%E5%81%A5%E8%BA%AB%E7%88%B1%E5%A5%BD%E8%80%85%E7%AD%89%E4%BA%BA%E7%BE%A4%EF%BC%8C%E9%94%BB%E7%82%BC%E5%89%8D%E5%90%8E%E6%88%96%E4%B8%A4%E9%A4%90%E4%B9%8B%E9%97%B4%E9%A5%AE%E7%94%A8%E3%80%82</x:v>
      </x:c>
      <x:c r="E851" s="5" t="str">
        <x:v>page.sm.cn</x:v>
      </x:c>
      <x:c r="F851" s="5" t="str">
        <x:v>其他网页</x:v>
      </x:c>
      <x:c r="G851" s="5" t="str">
        <x:v>否</x:v>
      </x:c>
      <x:c r="H851" s="5" t="str"/>
      <x:c r="I851" s="5" t="str">
        <x:v>自然</x:v>
      </x:c>
      <x:c r="J851" s="5" t="str">
        <x:v>未核实</x:v>
      </x:c>
    </x:row>
    <x:row r="852" ht="27" customHeight="1">
      <x:c r="A852" s="5" t="str">
        <x:v>千问</x:v>
      </x:c>
      <x:c r="B852" s="5" t="str">
        <x:v>Q9</x:v>
      </x:c>
      <x:c r="C852" s="5" t="str">
        <x:v>蛋白粉哪个牌子实惠好用?2026平价高品质蛋白粉品牌参考，长期食补没有负担_39健康网</x:v>
      </x:c>
      <x:c r="D852" s="5" t="str">
        <x:v>https://m.39.net/baike/a_v9wrqqs.html</x:v>
      </x:c>
      <x:c r="E852" s="5" t="str">
        <x:v>39.net</x:v>
      </x:c>
      <x:c r="F852" s="5" t="str">
        <x:v>其他网页</x:v>
      </x:c>
      <x:c r="G852" s="5" t="str">
        <x:v>否</x:v>
      </x:c>
      <x:c r="H852" s="5" t="str">
        <x:v>汤臣倍健、潘海威元、Myprotein、ON/欧普特蒙、赤大师</x:v>
      </x:c>
      <x:c r="I852" s="5" t="str">
        <x:v>自然</x:v>
      </x:c>
      <x:c r="J852" s="5" t="str">
        <x:v>未核实</x:v>
      </x:c>
    </x:row>
    <x:row r="853" ht="27" customHeight="1">
      <x:c r="A853" s="5" t="str">
        <x:v>千问</x:v>
      </x:c>
      <x:c r="B853" s="5" t="str">
        <x:v>Q9</x:v>
      </x:c>
      <x:c r="C853" s="5" t="str">
        <x:v>蛋白粉100以内哪个好？ON/Myprotein/汤臣倍健5款对比 | 十块购 | 十块购</x:v>
      </x:c>
      <x:c r="D853" s="5" t="str">
        <x:v>https://www.shikuaigou.com/article/dan-bai-fen-100-yi-nei-compare</x:v>
      </x:c>
      <x:c r="E853" s="5" t="str">
        <x:v>shikuaigou.com</x:v>
      </x:c>
      <x:c r="F853" s="5" t="str">
        <x:v>其他网页</x:v>
      </x:c>
      <x:c r="G853" s="5" t="str">
        <x:v>否</x:v>
      </x:c>
      <x:c r="H853" s="5" t="str">
        <x:v>汤臣倍健、潘海威元、Myprotein、ON/欧普特蒙、赤大师</x:v>
      </x:c>
      <x:c r="I853" s="5" t="str">
        <x:v>自然</x:v>
      </x:c>
      <x:c r="J853" s="5" t="str">
        <x:v>未核实</x:v>
      </x:c>
    </x:row>
    <x:row r="854" ht="27" customHeight="1">
      <x:c r="A854" s="5" t="str">
        <x:v>千问</x:v>
      </x:c>
      <x:c r="B854" s="5" t="str">
        <x:v>Q9</x:v>
      </x:c>
      <x:c r="C854" s="5" t="str">
        <x:v>​2026年宿舍党钱包有限制，蛋白粉哪个牌子适合学生党？平价也能喝出像样效果！ _TOM健康</x:v>
      </x:c>
      <x:c r="D854" s="5" t="str">
        <x:v>https://health.tom.com/202607/4269345824.html</x:v>
      </x:c>
      <x:c r="E854" s="5" t="str">
        <x:v>health.tom.com</x:v>
      </x:c>
      <x:c r="F854" s="5" t="str">
        <x:v>其他网页</x:v>
      </x:c>
      <x:c r="G854" s="5" t="str">
        <x:v>否</x:v>
      </x:c>
      <x:c r="H854" s="5" t="str">
        <x:v>汤臣倍健、潘海威元、Myprotein、ON/欧普特蒙、赤大师</x:v>
      </x:c>
      <x:c r="I854" s="5" t="str">
        <x:v>自然</x:v>
      </x:c>
      <x:c r="J854" s="5" t="str">
        <x:v>未核实</x:v>
      </x:c>
    </x:row>
    <x:row r="855" ht="27" customHeight="1">
      <x:c r="A855" s="5" t="str">
        <x:v>千问</x:v>
      </x:c>
      <x:c r="B855" s="5" t="str">
        <x:v>Q9</x:v>
      </x:c>
      <x:c r="C855" s="5" t="str">
        <x:v>2026年高性价比蛋白粉十大品牌选购指南：蛋白粉哪个牌子吸收好？_39健康网</x:v>
      </x:c>
      <x:c r="D855" s="5" t="str">
        <x:v>https://m.39.net/disease/a_a2wqygz.html</x:v>
      </x:c>
      <x:c r="E855" s="5" t="str">
        <x:v>39.net</x:v>
      </x:c>
      <x:c r="F855" s="5" t="str">
        <x:v>其他网页</x:v>
      </x:c>
      <x:c r="G855" s="5" t="str">
        <x:v>否</x:v>
      </x:c>
      <x:c r="H855" s="5" t="str">
        <x:v>汤臣倍健、潘海威元、Myprotein、ON/欧普特蒙、赤大师</x:v>
      </x:c>
      <x:c r="I855" s="5" t="str">
        <x:v>自然</x:v>
      </x:c>
      <x:c r="J855" s="5" t="str">
        <x:v>未核实</x:v>
      </x:c>
    </x:row>
    <x:row r="856" ht="27" customHeight="1">
      <x:c r="A856" s="5" t="str">
        <x:v>千问</x:v>
      </x:c>
      <x:c r="B856" s="5" t="str">
        <x:v>Q9</x:v>
      </x:c>
      <x:c r="C856" s="5" t="str">
        <x:v>蛋白粉哪个品牌的性价比最划算？2026 蛋白粉十大品牌高含量 + 亲民价_39健康网</x:v>
      </x:c>
      <x:c r="D856" s="5" t="str">
        <x:v>https://m.39.net/baike/a_j7wn2io.html</x:v>
      </x:c>
      <x:c r="E856" s="5" t="str">
        <x:v>39.net</x:v>
      </x:c>
      <x:c r="F856" s="5" t="str">
        <x:v>其他网页</x:v>
      </x:c>
      <x:c r="G856" s="5" t="str">
        <x:v>否</x:v>
      </x:c>
      <x:c r="H856" s="5" t="str">
        <x:v>汤臣倍健、潘海威元、Myprotein、ON/欧普特蒙、赤大师</x:v>
      </x:c>
      <x:c r="I856" s="5" t="str">
        <x:v>自然</x:v>
      </x:c>
      <x:c r="J856" s="5" t="str">
        <x:v>未核实</x:v>
      </x:c>
    </x:row>
    <x:row r="857" ht="27" customHeight="1">
      <x:c r="A857" s="5" t="str">
        <x:v>千问</x:v>
      </x:c>
      <x:c r="B857" s="5" t="str">
        <x:v>Q9</x:v>
      </x:c>
      <x:c r="C857" s="5" t="str">
        <x:v>平价又好用的蛋白粉品牌选哪个？盘点2026平价蛋白粉十大品牌，好用不贵学生必备_39健康网</x:v>
      </x:c>
      <x:c r="D857" s="5" t="str">
        <x:v>https://m.39.net/baike/a_j1wnoic.html</x:v>
      </x:c>
      <x:c r="E857" s="5" t="str">
        <x:v>39.net</x:v>
      </x:c>
      <x:c r="F857" s="5" t="str">
        <x:v>其他网页</x:v>
      </x:c>
      <x:c r="G857" s="5" t="str">
        <x:v>否</x:v>
      </x:c>
      <x:c r="H857" s="5" t="str">
        <x:v>汤臣倍健、潘海威元、Myprotein、ON/欧普特蒙、赤大师</x:v>
      </x:c>
      <x:c r="I857" s="5" t="str">
        <x:v>自然</x:v>
      </x:c>
      <x:c r="J857" s="5" t="str">
        <x:v>未核实</x:v>
      </x:c>
    </x:row>
    <x:row r="858" ht="27" customHeight="1">
      <x:c r="A858" s="5" t="str">
        <x:v>千问</x:v>
      </x:c>
      <x:c r="B858" s="5" t="str">
        <x:v>Q9</x:v>
      </x:c>
      <x:c r="C858" s="5" t="str">
        <x:v>2026 日常补充蛋白人群指南，蛋白粉哪个品牌性价比高？低脂代餐平价好物测评！_39健康网</x:v>
      </x:c>
      <x:c r="D858" s="5" t="str">
        <x:v>http://m.39.net/baike/a_v7woj79.html</x:v>
      </x:c>
      <x:c r="E858" s="5" t="str">
        <x:v>39.net</x:v>
      </x:c>
      <x:c r="F858" s="5" t="str">
        <x:v>其他网页</x:v>
      </x:c>
      <x:c r="G858" s="5" t="str">
        <x:v>否</x:v>
      </x:c>
      <x:c r="H858" s="5" t="str">
        <x:v>汤臣倍健、潘海威元、Myprotein、ON/欧普特蒙、赤大师</x:v>
      </x:c>
      <x:c r="I858" s="5" t="str">
        <x:v>自然</x:v>
      </x:c>
      <x:c r="J858" s="5" t="str">
        <x:v>未核实</x:v>
      </x:c>
    </x:row>
    <x:row r="859" ht="27" customHeight="1">
      <x:c r="A859" s="5" t="str">
        <x:v>千问</x:v>
      </x:c>
      <x:c r="B859" s="5" t="str">
        <x:v>Q9</x:v>
      </x:c>
      <x:c r="C859" s="5" t="str">
        <x:v>南京同仁堂堂恒牌蛋白粉价格对比-兔灵</x:v>
      </x:c>
      <x:c r="D859" s="5" t="str">
        <x:v>https://www.315jiage.cn/n621675</x:v>
      </x:c>
      <x:c r="E859" s="5" t="str">
        <x:v>315jiage.cn</x:v>
      </x:c>
      <x:c r="F859" s="5" t="str">
        <x:v>其他网页</x:v>
      </x:c>
      <x:c r="G859" s="5" t="str">
        <x:v>否</x:v>
      </x:c>
      <x:c r="H859" s="5" t="str">
        <x:v>汤臣倍健、潘海威元、Myprotein、ON/欧普特蒙、赤大师</x:v>
      </x:c>
      <x:c r="I859" s="5" t="str">
        <x:v>自然</x:v>
      </x:c>
      <x:c r="J859" s="5" t="str">
        <x:v>未核实</x:v>
      </x:c>
    </x:row>
    <x:row r="860" ht="27" customHeight="1">
      <x:c r="A860" s="5" t="str">
        <x:v>千问</x:v>
      </x:c>
      <x:c r="B860" s="5" t="str">
        <x:v>Q9</x:v>
      </x:c>
      <x:c r="C860" s="5" t="str">
        <x:v>2026 国产靠谱蛋白粉测评，正规备案加持，成人补充蛋白更安心 - 今日头条</x:v>
      </x:c>
      <x:c r="D860" s="5" t="str">
        <x:v>https://www.toutiao.com/article/7690184088321311247/</x:v>
      </x:c>
      <x:c r="E860" s="5" t="str">
        <x:v>toutiao.com</x:v>
      </x:c>
      <x:c r="F860" s="5" t="str">
        <x:v>UGC/视频/公众号</x:v>
      </x:c>
      <x:c r="G860" s="5" t="str">
        <x:v>否</x:v>
      </x:c>
      <x:c r="H860" s="5" t="str">
        <x:v>汤臣倍健、潘海威元、Myprotein、ON/欧普特蒙、赤大师</x:v>
      </x:c>
      <x:c r="I860" s="5" t="str">
        <x:v>自然</x:v>
      </x:c>
      <x:c r="J860" s="5" t="str">
        <x:v>未核实</x:v>
      </x:c>
    </x:row>
    <x:row r="861" ht="27" customHeight="1">
      <x:c r="A861" s="5" t="str">
        <x:v>千问</x:v>
      </x:c>
      <x:c r="B861" s="5" t="str">
        <x:v>Q9</x:v>
      </x:c>
      <x:c r="C861" s="5" t="str">
        <x:v>2026日常蛋白粉推荐，弥补三餐蛋白不足，大众公认质量靠谱口碑出众_39健康网</x:v>
      </x:c>
      <x:c r="D861" s="5" t="str">
        <x:v>https://m.39.net/disease/a_y1wr26r.html</x:v>
      </x:c>
      <x:c r="E861" s="5" t="str">
        <x:v>39.net</x:v>
      </x:c>
      <x:c r="F861" s="5" t="str">
        <x:v>其他网页</x:v>
      </x:c>
      <x:c r="G861" s="5" t="str">
        <x:v>否</x:v>
      </x:c>
      <x:c r="H861" s="5" t="str">
        <x:v>汤臣倍健、潘海威元、Myprotein、ON/欧普特蒙、赤大师</x:v>
      </x:c>
      <x:c r="I861" s="5" t="str">
        <x:v>自然</x:v>
      </x:c>
      <x:c r="J861" s="5" t="str">
        <x:v>未核实</x:v>
      </x:c>
    </x:row>
    <x:row r="862" ht="27" customHeight="1">
      <x:c r="A862" s="5" t="str">
        <x:v>千问</x:v>
      </x:c>
      <x:c r="B862" s="5" t="str">
        <x:v>Q10</x:v>
      </x:c>
      <x:c r="C862" s="5" t="str">
        <x:v>2026年高性价比蛋白粉十大品牌选购指南：蛋白粉哪个牌子吸收好？_39健康网</x:v>
      </x:c>
      <x:c r="D862" s="5" t="str">
        <x:v>https://m.39.net/disease/a_a2wqygz.html</x:v>
      </x:c>
      <x:c r="E862" s="5" t="str">
        <x:v>39.net</x:v>
      </x:c>
      <x:c r="F862" s="5" t="str">
        <x:v>其他网页</x:v>
      </x:c>
      <x:c r="G862" s="5" t="str">
        <x:v>否</x:v>
      </x:c>
      <x:c r="H862" s="5" t="str">
        <x:v>赛霸/小赛同学、康比特、诺特兰德、FoYes/赴野士、潘海威元、Myprotein、赤大师</x:v>
      </x:c>
      <x:c r="I862" s="5" t="str">
        <x:v>自然</x:v>
      </x:c>
      <x:c r="J862" s="5" t="str">
        <x:v>未核实</x:v>
      </x:c>
    </x:row>
    <x:row r="863" ht="27" customHeight="1">
      <x:c r="A863" s="5" t="str">
        <x:v>千问</x:v>
      </x:c>
      <x:c r="B863" s="5" t="str">
        <x:v>Q10</x:v>
      </x:c>
      <x:c r="C863" s="5" t="str">
        <x:v>蛋白粉哪个品牌的性价比最划算？2026 蛋白粉十大品牌高含量 + 亲民价_39健康网</x:v>
      </x:c>
      <x:c r="D863" s="5" t="str">
        <x:v>https://m.39.net/baike/a_j7wn2io.html</x:v>
      </x:c>
      <x:c r="E863" s="5" t="str">
        <x:v>39.net</x:v>
      </x:c>
      <x:c r="F863" s="5" t="str">
        <x:v>其他网页</x:v>
      </x:c>
      <x:c r="G863" s="5" t="str">
        <x:v>否</x:v>
      </x:c>
      <x:c r="H863" s="5" t="str">
        <x:v>赛霸/小赛同学、康比特、诺特兰德、FoYes/赴野士、潘海威元、Myprotein、赤大师</x:v>
      </x:c>
      <x:c r="I863" s="5" t="str">
        <x:v>自然</x:v>
      </x:c>
      <x:c r="J863" s="5" t="str">
        <x:v>未核实</x:v>
      </x:c>
    </x:row>
    <x:row r="864" ht="27" customHeight="1">
      <x:c r="A864" s="5" t="str">
        <x:v>千问</x:v>
      </x:c>
      <x:c r="B864" s="5" t="str">
        <x:v>Q10</x:v>
      </x:c>
      <x:c r="C864" s="5" t="str">
        <x:v>平价又好用的蛋白粉品牌选哪个？盘点2026平价蛋白粉十大品牌，好用不贵学生必备_39健康网</x:v>
      </x:c>
      <x:c r="D864" s="5" t="str">
        <x:v>https://m.39.net/baike/a_j1wnoic.html</x:v>
      </x:c>
      <x:c r="E864" s="5" t="str">
        <x:v>39.net</x:v>
      </x:c>
      <x:c r="F864" s="5" t="str">
        <x:v>其他网页</x:v>
      </x:c>
      <x:c r="G864" s="5" t="str">
        <x:v>否</x:v>
      </x:c>
      <x:c r="H864" s="5" t="str">
        <x:v>赛霸/小赛同学、康比特、诺特兰德、FoYes/赴野士、潘海威元、Myprotein、赤大师</x:v>
      </x:c>
      <x:c r="I864" s="5" t="str">
        <x:v>自然</x:v>
      </x:c>
      <x:c r="J864" s="5" t="str">
        <x:v>未核实</x:v>
      </x:c>
    </x:row>
    <x:row r="865" ht="27" customHeight="1">
      <x:c r="A865" s="5" t="str">
        <x:v>千问</x:v>
      </x:c>
      <x:c r="B865" s="5" t="str">
        <x:v>Q10</x:v>
      </x:c>
      <x:c r="C865" s="5" t="str">
        <x:v>蛋白粉哪个牌子性价比高？2026原料售价双重对比，高性价比入围十大！_39健康网</x:v>
      </x:c>
      <x:c r="D865" s="5" t="str">
        <x:v>https://m.39.net/baike/a_p2wmrum.html</x:v>
      </x:c>
      <x:c r="E865" s="5" t="str">
        <x:v>39.net</x:v>
      </x:c>
      <x:c r="F865" s="5" t="str">
        <x:v>其他网页</x:v>
      </x:c>
      <x:c r="G865" s="5" t="str">
        <x:v>否</x:v>
      </x:c>
      <x:c r="H865" s="5" t="str">
        <x:v>赛霸/小赛同学、康比特、诺特兰德、FoYes/赴野士、潘海威元、Myprotein、赤大师</x:v>
      </x:c>
      <x:c r="I865" s="5" t="str">
        <x:v>自然</x:v>
      </x:c>
      <x:c r="J865" s="5" t="str">
        <x:v>未核实</x:v>
      </x:c>
    </x:row>
    <x:row r="866" ht="27" customHeight="1">
      <x:c r="A866" s="5" t="str">
        <x:v>千问</x:v>
      </x:c>
      <x:c r="B866" s="5" t="str">
        <x:v>Q11</x:v>
      </x:c>
      <x:c r="C866" s="5" t="str">
        <x:v>国产蛋白粉哪个牌子好？七款产品比较成品含量与配料_医联媒体</x:v>
      </x:c>
      <x:c r="D866" s="5" t="str">
        <x:v>https://www.yilianmeiti.com/article/2992814.html</x:v>
      </x:c>
      <x:c r="E866" s="5" t="str">
        <x:v>yilianmeiti.com</x:v>
      </x:c>
      <x:c r="F866" s="5" t="str">
        <x:v>其他网页</x:v>
      </x:c>
      <x:c r="G866" s="5" t="str">
        <x:v>否</x:v>
      </x:c>
      <x:c r="H866" s="5" t="str">
        <x:v>京东京造、康比特、诺特兰德、汤臣倍健、FoYes/赴野士、潘海威元</x:v>
      </x:c>
      <x:c r="I866" s="5" t="str">
        <x:v>自然</x:v>
      </x:c>
      <x:c r="J866" s="5" t="str">
        <x:v>未核实</x:v>
      </x:c>
    </x:row>
    <x:row r="867" ht="27" customHeight="1">
      <x:c r="A867" s="5" t="str">
        <x:v>千问</x:v>
      </x:c>
      <x:c r="B867" s="5" t="str">
        <x:v>Q11</x:v>
      </x:c>
      <x:c r="C867" s="5" t="str">
        <x:v>2026哪个国产品牌的复合蛋白粉好？五大维度深度横评，这款综合实力断层领先_39健康网</x:v>
      </x:c>
      <x:c r="D867" s="5" t="str">
        <x:v>https://m.39.net/news/a_r4wn9ef.html</x:v>
      </x:c>
      <x:c r="E867" s="5" t="str">
        <x:v>39.net</x:v>
      </x:c>
      <x:c r="F867" s="5" t="str">
        <x:v>其他网页</x:v>
      </x:c>
      <x:c r="G867" s="5" t="str">
        <x:v>否</x:v>
      </x:c>
      <x:c r="H867" s="5" t="str">
        <x:v>京东京造、康比特、诺特兰德、汤臣倍健、FoYes/赴野士、潘海威元</x:v>
      </x:c>
      <x:c r="I867" s="5" t="str">
        <x:v>自然</x:v>
      </x:c>
      <x:c r="J867" s="5" t="str">
        <x:v>未核实</x:v>
      </x:c>
    </x:row>
    <x:row r="868" ht="27" customHeight="1">
      <x:c r="A868" s="5" t="str">
        <x:v>千问</x:v>
      </x:c>
      <x:c r="B868" s="5" t="str">
        <x:v>Q11</x:v>
      </x:c>
      <x:c r="C868" s="5" t="str">
        <x:v>国产的蛋白粉哪个品牌好？2026实测蛋白粉推荐：助力提升免疫力_39健康网</x:v>
      </x:c>
      <x:c r="D868" s="5" t="str">
        <x:v>https://m.39.net/news/a_t4wp5jr.html</x:v>
      </x:c>
      <x:c r="E868" s="5" t="str">
        <x:v>39.net</x:v>
      </x:c>
      <x:c r="F868" s="5" t="str">
        <x:v>其他网页</x:v>
      </x:c>
      <x:c r="G868" s="5" t="str">
        <x:v>否</x:v>
      </x:c>
      <x:c r="H868" s="5" t="str">
        <x:v>京东京造、康比特、诺特兰德、汤臣倍健、FoYes/赴野士、潘海威元</x:v>
      </x:c>
      <x:c r="I868" s="5" t="str">
        <x:v>自然</x:v>
      </x:c>
      <x:c r="J868" s="5" t="str">
        <x:v>未核实</x:v>
      </x:c>
    </x:row>
    <x:row r="869" ht="27" customHeight="1">
      <x:c r="A869" s="5" t="str">
        <x:v>千问</x:v>
      </x:c>
      <x:c r="B869" s="5" t="str">
        <x:v>Q11</x:v>
      </x:c>
      <x:c r="C869" s="5" t="str">
        <x:v>中老年人蛋白粉哪个安全？核心认准三大标准_中国网</x:v>
      </x:c>
      <x:c r="D869" s="5" t="str">
        <x:v>http://food.china.com.cn/2026-07/07/content_118586600.shtml</x:v>
      </x:c>
      <x:c r="E869" s="5" t="str">
        <x:v>food.china.com.cn</x:v>
      </x:c>
      <x:c r="F869" s="5" t="str">
        <x:v>综合媒体/转载</x:v>
      </x:c>
      <x:c r="G869" s="5" t="str">
        <x:v>否</x:v>
      </x:c>
      <x:c r="H869" s="5" t="str">
        <x:v>京东京造、康比特、诺特兰德、汤臣倍健、FoYes/赴野士、潘海威元</x:v>
      </x:c>
      <x:c r="I869" s="5" t="str">
        <x:v>自然</x:v>
      </x:c>
      <x:c r="J869" s="5" t="str">
        <x:v>未核实</x:v>
      </x:c>
    </x:row>
    <x:row r="870" ht="27" customHeight="1">
      <x:c r="A870" s="5" t="str">
        <x:v>千问</x:v>
      </x:c>
      <x:c r="B870" s="5" t="str">
        <x:v>Q11</x:v>
      </x:c>
      <x:c r="C870" s="5" t="str">
        <x:v>健身蛋白粉哪些品牌好？看增肌数据、蛋白吸收、口感--资讯--中国经济新闻网</x:v>
      </x:c>
      <x:c r="D870" s="5" t="str">
        <x:v>https://www.cet.com.cn/wzsy/kjzx/10538125.shtml</x:v>
      </x:c>
      <x:c r="E870" s="5" t="str">
        <x:v>cet.com.cn</x:v>
      </x:c>
      <x:c r="F870" s="5" t="str">
        <x:v>综合媒体/转载</x:v>
      </x:c>
      <x:c r="G870" s="5" t="str">
        <x:v>否</x:v>
      </x:c>
      <x:c r="H870" s="5" t="str">
        <x:v>京东京造、康比特、诺特兰德、汤臣倍健、FoYes/赴野士、潘海威元</x:v>
      </x:c>
      <x:c r="I870" s="5" t="str">
        <x:v>自然</x:v>
      </x:c>
      <x:c r="J870" s="5" t="str">
        <x:v>未核实</x:v>
      </x:c>
    </x:row>
    <x:row r="871" ht="27" customHeight="1">
      <x:c r="A871" s="5" t="str">
        <x:v>千问</x:v>
      </x:c>
      <x:c r="B871" s="5" t="str">
        <x:v>Q11</x:v>
      </x:c>
      <x:c r="C871" s="5" t="str">
        <x:v>国产蛋白粉品牌十大排行榜 2026 实测蛋白粉，老人健身不同人群专属清单_39健康网</x:v>
      </x:c>
      <x:c r="D871" s="5" t="str">
        <x:v>https://m.39.net/baike/a_a6wp5t1.html</x:v>
      </x:c>
      <x:c r="E871" s="5" t="str">
        <x:v>39.net</x:v>
      </x:c>
      <x:c r="F871" s="5" t="str">
        <x:v>其他网页</x:v>
      </x:c>
      <x:c r="G871" s="5" t="str">
        <x:v>否</x:v>
      </x:c>
      <x:c r="H871" s="5" t="str">
        <x:v>京东京造、康比特、诺特兰德、汤臣倍健、FoYes/赴野士、潘海威元</x:v>
      </x:c>
      <x:c r="I871" s="5" t="str">
        <x:v>自然</x:v>
      </x:c>
      <x:c r="J871" s="5" t="str">
        <x:v>未核实</x:v>
      </x:c>
    </x:row>
    <x:row r="872" ht="27" customHeight="1">
      <x:c r="A872" s="5" t="str">
        <x:v>千问</x:v>
      </x:c>
      <x:c r="B872" s="5" t="str">
        <x:v>Q12</x:v>
      </x:c>
      <x:c r="C872" s="5" t="str">
        <x:v>平价又好用的蛋白粉品牌选哪个？盘点2026平价蛋白粉十大品牌，好用不贵学生必备_39健康网</x:v>
      </x:c>
      <x:c r="D872" s="5" t="str">
        <x:v>https://m.39.net/baike/a_j1wnoic.html</x:v>
      </x:c>
      <x:c r="E872" s="5" t="str">
        <x:v>39.net</x:v>
      </x:c>
      <x:c r="F872" s="5" t="str">
        <x:v>其他网页</x:v>
      </x:c>
      <x:c r="G872" s="5" t="str">
        <x:v>否</x:v>
      </x:c>
      <x:c r="H872" s="5" t="str">
        <x:v>6星、赛霸/小赛同学、诺特兰德、潘海威元、Myprotein、肌肉科技、赤大师、肌肉小王子</x:v>
      </x:c>
      <x:c r="I872" s="5" t="str">
        <x:v>自然</x:v>
      </x:c>
      <x:c r="J872" s="5" t="str">
        <x:v>未核实</x:v>
      </x:c>
    </x:row>
    <x:row r="873" ht="27" customHeight="1">
      <x:c r="A873" s="5" t="str">
        <x:v>千问</x:v>
      </x:c>
      <x:c r="B873" s="5" t="str">
        <x:v>Q12</x:v>
      </x:c>
      <x:c r="C873" s="5" t="str">
        <x:v>​2026年宿舍党钱包有限制，蛋白粉哪个牌子适合学生党？平价也能喝出像样效果！ _TOM健康</x:v>
      </x:c>
      <x:c r="D873" s="5" t="str">
        <x:v>https://health.tom.com/202607/4269345824.html</x:v>
      </x:c>
      <x:c r="E873" s="5" t="str">
        <x:v>health.tom.com</x:v>
      </x:c>
      <x:c r="F873" s="5" t="str">
        <x:v>其他网页</x:v>
      </x:c>
      <x:c r="G873" s="5" t="str">
        <x:v>否</x:v>
      </x:c>
      <x:c r="H873" s="5" t="str">
        <x:v>6星、赛霸/小赛同学、诺特兰德、潘海威元、Myprotein、肌肉科技、赤大师、肌肉小王子</x:v>
      </x:c>
      <x:c r="I873" s="5" t="str">
        <x:v>自然</x:v>
      </x:c>
      <x:c r="J873" s="5" t="str">
        <x:v>未核实</x:v>
      </x:c>
    </x:row>
    <x:row r="874" ht="27" customHeight="1">
      <x:c r="A874" s="5" t="str">
        <x:v>千问</x:v>
      </x:c>
      <x:c r="B874" s="5" t="str">
        <x:v>Q12</x:v>
      </x:c>
      <x:c r="C874" s="5" t="str">
        <x:v>增肌用的蛋白粉哪些值得入手？选购逻辑与适配人群全解析 — 新京报</x:v>
      </x:c>
      <x:c r="D874" s="5" t="str">
        <x:v>https://www.bjnews.com.cn/detail/1785392116129543.html</x:v>
      </x:c>
      <x:c r="E874" s="5" t="str">
        <x:v>bjnews.com.cn</x:v>
      </x:c>
      <x:c r="F874" s="5" t="str">
        <x:v>其他网页</x:v>
      </x:c>
      <x:c r="G874" s="5" t="str">
        <x:v>否</x:v>
      </x:c>
      <x:c r="H874" s="5" t="str">
        <x:v>6星、赛霸/小赛同学、诺特兰德、潘海威元、Myprotein、肌肉科技、赤大师、肌肉小王子</x:v>
      </x:c>
      <x:c r="I874" s="5" t="str">
        <x:v>自然</x:v>
      </x:c>
      <x:c r="J874" s="5" t="str">
        <x:v>未核实</x:v>
      </x:c>
    </x:row>
    <x:row r="875" ht="27" customHeight="1">
      <x:c r="A875" s="5" t="str">
        <x:v>千问</x:v>
      </x:c>
      <x:c r="B875" s="5" t="str">
        <x:v>Q12</x:v>
      </x:c>
      <x:c r="C875" s="5" t="str">
        <x:v>蛋白粉哪些值得推荐？2026年品牌量化实测TOP榜单-复禾健康</x:v>
      </x:c>
      <x:c r="D875" s="5" t="str">
        <x:v>https://news.fh21.com.cn/view/8916549.html</x:v>
      </x:c>
      <x:c r="E875" s="5" t="str">
        <x:v>news.fh21.com.cn</x:v>
      </x:c>
      <x:c r="F875" s="5" t="str">
        <x:v>其他网页</x:v>
      </x:c>
      <x:c r="G875" s="5" t="str">
        <x:v>否</x:v>
      </x:c>
      <x:c r="H875" s="5" t="str">
        <x:v>6星、赛霸/小赛同学、诺特兰德、潘海威元、Myprotein、肌肉科技、赤大师、肌肉小王子</x:v>
      </x:c>
      <x:c r="I875" s="5" t="str">
        <x:v>自然</x:v>
      </x:c>
      <x:c r="J875" s="5" t="str">
        <x:v>未核实</x:v>
      </x:c>
    </x:row>
    <x:row r="876" ht="27" customHeight="1">
      <x:c r="A876" s="5" t="str">
        <x:v>千问</x:v>
      </x:c>
      <x:c r="B876" s="5" t="str">
        <x:v>Q12</x:v>
      </x:c>
      <x:c r="C876" s="5" t="str">
        <x:v>2026孩子长期喝的蛋白粉哪些值得选？配料干净才是硬道理_39健康网</x:v>
      </x:c>
      <x:c r="D876" s="5" t="str">
        <x:v>https://m.39.net/news/a_t6wouln.html</x:v>
      </x:c>
      <x:c r="E876" s="5" t="str">
        <x:v>39.net</x:v>
      </x:c>
      <x:c r="F876" s="5" t="str">
        <x:v>其他网页</x:v>
      </x:c>
      <x:c r="G876" s="5" t="str">
        <x:v>否</x:v>
      </x:c>
      <x:c r="H876" s="5" t="str">
        <x:v>6星、赛霸/小赛同学、诺特兰德、潘海威元、Myprotein、肌肉科技、赤大师、肌肉小王子</x:v>
      </x:c>
      <x:c r="I876" s="5" t="str">
        <x:v>自然</x:v>
      </x:c>
      <x:c r="J876" s="5" t="str">
        <x:v>未核实</x:v>
      </x:c>
    </x:row>
    <x:row r="877" ht="27" customHeight="1">
      <x:c r="A877" s="5" t="str">
        <x:v>千问</x:v>
      </x:c>
      <x:c r="B877" s="5" t="str">
        <x:v>Q13</x:v>
      </x:c>
      <x:c r="C877" s="5" t="str">
        <x:v>乳清蛋白粉什么牌子好？看口感与溶解度，附十品牌排名榜_安心买好药就上妙手商城</x:v>
      </x:c>
      <x:c r="D877" s="5" t="str">
        <x:v>https://m.miaoshou.com/news/pj5ye14WMAEDkLgw.html</x:v>
      </x:c>
      <x:c r="E877" s="5" t="str">
        <x:v>miaoshou.com</x:v>
      </x:c>
      <x:c r="F877" s="5" t="str">
        <x:v>其他网页</x:v>
      </x:c>
      <x:c r="G877" s="5" t="str">
        <x:v>否</x:v>
      </x:c>
      <x:c r="H877" s="5" t="str">
        <x:v>京东京造、康比特、诺特兰德、汤臣倍健、FoYes/赴野士、训练怪兽、Hot Rule、Myprotein、ON/欧普特蒙、肌肉科技</x:v>
      </x:c>
      <x:c r="I877" s="5" t="str">
        <x:v>自然</x:v>
      </x:c>
      <x:c r="J877" s="5" t="str">
        <x:v>未核实</x:v>
      </x:c>
    </x:row>
    <x:row r="878" ht="27" customHeight="1">
      <x:c r="A878" s="5" t="str">
        <x:v>千问</x:v>
      </x:c>
      <x:c r="B878" s="5" t="str">
        <x:v>Q13</x:v>
      </x:c>
      <x:c r="C878" s="5" t="str">
        <x:v>健身蛋白粉哪些品牌好？看增肌数据、蛋白吸收、口感--资讯--中国经济新闻网</x:v>
      </x:c>
      <x:c r="D878" s="5" t="str">
        <x:v>https://www.cet.com.cn/wzsy/kjzx/10538125.shtml</x:v>
      </x:c>
      <x:c r="E878" s="5" t="str">
        <x:v>cet.com.cn</x:v>
      </x:c>
      <x:c r="F878" s="5" t="str">
        <x:v>综合媒体/转载</x:v>
      </x:c>
      <x:c r="G878" s="5" t="str">
        <x:v>否</x:v>
      </x:c>
      <x:c r="H878" s="5" t="str">
        <x:v>京东京造、康比特、诺特兰德、汤臣倍健、FoYes/赴野士、训练怪兽、Hot Rule、Myprotein、ON/欧普特蒙、肌肉科技</x:v>
      </x:c>
      <x:c r="I878" s="5" t="str">
        <x:v>自然</x:v>
      </x:c>
      <x:c r="J878" s="5" t="str">
        <x:v>未核实</x:v>
      </x:c>
    </x:row>
    <x:row r="879" ht="27" customHeight="1">
      <x:c r="A879" s="5" t="str">
        <x:v>千问</x:v>
      </x:c>
      <x:c r="B879" s="5" t="str">
        <x:v>Q13</x:v>
      </x:c>
      <x:c r="C879" s="5" t="str">
        <x:v>不同人群蛋白粉品牌推荐排行榜——十大品牌适用人群逐一分析_39健康网</x:v>
      </x:c>
      <x:c r="D879" s="5" t="str">
        <x:v>https://m.39.net/disease/a_n3wp7fa.html</x:v>
      </x:c>
      <x:c r="E879" s="5" t="str">
        <x:v>39.net</x:v>
      </x:c>
      <x:c r="F879" s="5" t="str">
        <x:v>其他网页</x:v>
      </x:c>
      <x:c r="G879" s="5" t="str">
        <x:v>否</x:v>
      </x:c>
      <x:c r="H879" s="5" t="str">
        <x:v>京东京造、康比特、诺特兰德、汤臣倍健、FoYes/赴野士、训练怪兽、Hot Rule、Myprotein、ON/欧普特蒙、肌肉科技</x:v>
      </x:c>
      <x:c r="I879" s="5" t="str">
        <x:v>自然</x:v>
      </x:c>
      <x:c r="J879" s="5" t="str">
        <x:v>未核实</x:v>
      </x:c>
    </x:row>
    <x:row r="880" ht="27" customHeight="1">
      <x:c r="A880" s="5" t="str">
        <x:v>千问</x:v>
      </x:c>
      <x:c r="B880" s="5" t="str">
        <x:v>Q13</x:v>
      </x:c>
      <x:c r="C880" s="5" t="str">
        <x:v>2026 易冲泡蛋白粉十大榜单，细腻无结块口感佳，蛋白粉什么牌子冲泡口感好？_39健康网</x:v>
      </x:c>
      <x:c r="D880" s="5" t="str">
        <x:v>https://m.39.net/baike/a_k6wnuwi.html</x:v>
      </x:c>
      <x:c r="E880" s="5" t="str">
        <x:v>39.net</x:v>
      </x:c>
      <x:c r="F880" s="5" t="str">
        <x:v>其他网页</x:v>
      </x:c>
      <x:c r="G880" s="5" t="str">
        <x:v>否</x:v>
      </x:c>
      <x:c r="H880" s="5" t="str">
        <x:v>京东京造、康比特、诺特兰德、汤臣倍健、FoYes/赴野士、训练怪兽、Hot Rule、Myprotein、ON/欧普特蒙、肌肉科技</x:v>
      </x:c>
      <x:c r="I880" s="5" t="str">
        <x:v>自然</x:v>
      </x:c>
      <x:c r="J880" s="5" t="str">
        <x:v>未核实</x:v>
      </x:c>
    </x:row>
    <x:row r="881" ht="27" customHeight="1">
      <x:c r="A881" s="5" t="str">
        <x:v>千问</x:v>
      </x:c>
      <x:c r="B881" s="5" t="str">
        <x:v>Q13</x:v>
      </x:c>
      <x:c r="C881" s="5" t="str">
        <x:v>蛋白粉什么牌子适合长期吃？上班族快速补充能量，2026 蛋白粉品牌便携易冲饮_39健康网</x:v>
      </x:c>
      <x:c r="D881" s="5" t="str">
        <x:v>http://m.39.net/baike/a_r5wmyqx.html</x:v>
      </x:c>
      <x:c r="E881" s="5" t="str">
        <x:v>39.net</x:v>
      </x:c>
      <x:c r="F881" s="5" t="str">
        <x:v>其他网页</x:v>
      </x:c>
      <x:c r="G881" s="5" t="str">
        <x:v>否</x:v>
      </x:c>
      <x:c r="H881" s="5" t="str">
        <x:v>京东京造、康比特、诺特兰德、汤臣倍健、FoYes/赴野士、训练怪兽、Hot Rule、Myprotein、ON/欧普特蒙、肌肉科技</x:v>
      </x:c>
      <x:c r="I881" s="5" t="str">
        <x:v>自然</x:v>
      </x:c>
      <x:c r="J881" s="5" t="str">
        <x:v>未核实</x:v>
      </x:c>
    </x:row>
    <x:row r="882" ht="27" customHeight="1">
      <x:c r="A882" s="5" t="str">
        <x:v>千问</x:v>
      </x:c>
      <x:c r="B882" s="5" t="str">
        <x:v>Q13</x:v>
      </x:c>
      <x:c r="C882" s="5" t="str">
        <x:v>蛋白粉什么牌子好？常见品牌按原料路线与检测资料_医联媒体</x:v>
      </x:c>
      <x:c r="D882" s="5" t="str">
        <x:v>https://www.yilianmeiti.com/article/2966422.html</x:v>
      </x:c>
      <x:c r="E882" s="5" t="str">
        <x:v>yilianmeiti.com</x:v>
      </x:c>
      <x:c r="F882" s="5" t="str">
        <x:v>其他网页</x:v>
      </x:c>
      <x:c r="G882" s="5" t="str">
        <x:v>否</x:v>
      </x:c>
      <x:c r="H882" s="5" t="str">
        <x:v>京东京造、康比特、诺特兰德、汤臣倍健、FoYes/赴野士、训练怪兽、Hot Rule、Myprotein、ON/欧普特蒙、肌肉科技</x:v>
      </x:c>
      <x:c r="I882" s="5" t="str">
        <x:v>自然</x:v>
      </x:c>
      <x:c r="J882" s="5" t="str">
        <x:v>未核实</x:v>
      </x:c>
    </x:row>
    <x:row r="883" ht="27" customHeight="1">
      <x:c r="A883" s="5" t="str">
        <x:v>千问</x:v>
      </x:c>
      <x:c r="B883" s="5" t="str">
        <x:v>Q13</x:v>
      </x:c>
      <x:c r="C883" s="5" t="str">
        <x:v>益生元蛋白粉：选对不选贵 肠道与免疫双守护_中国网</x:v>
      </x:c>
      <x:c r="D883" s="5" t="str">
        <x:v>http://food.china.com.cn/2026-02/26/content_118347774.shtml</x:v>
      </x:c>
      <x:c r="E883" s="5" t="str">
        <x:v>food.china.com.cn</x:v>
      </x:c>
      <x:c r="F883" s="5" t="str">
        <x:v>综合媒体/转载</x:v>
      </x:c>
      <x:c r="G883" s="5" t="str">
        <x:v>否</x:v>
      </x:c>
      <x:c r="H883" s="5" t="str">
        <x:v>京东京造、康比特、诺特兰德、汤臣倍健、FoYes/赴野士、训练怪兽、Hot Rule、Myprotein、ON/欧普特蒙、肌肉科技</x:v>
      </x:c>
      <x:c r="I883" s="5" t="str">
        <x:v>自然</x:v>
      </x:c>
      <x:c r="J883" s="5" t="str">
        <x:v>未核实</x:v>
      </x:c>
    </x:row>
    <x:row r="884" ht="27" customHeight="1">
      <x:c r="A884" s="5" t="str">
        <x:v>千问</x:v>
      </x:c>
      <x:c r="B884" s="5" t="str">
        <x:v>Q13</x:v>
      </x:c>
      <x:c r="C884" s="5" t="str">
        <x:v>人气蛋白粉口味排行榜 TOP 10 | MYPROTEIN™</x:v>
      </x:c>
      <x:c r="D884" s="5" t="str">
        <x:v>https://www.myprotein.cn/seasonal/rank/protein.list</x:v>
      </x:c>
      <x:c r="E884" s="5" t="str">
        <x:v>myprotein.cn</x:v>
      </x:c>
      <x:c r="F884" s="5" t="str">
        <x:v>企业官网</x:v>
      </x:c>
      <x:c r="G884" s="5" t="str">
        <x:v>否</x:v>
      </x:c>
      <x:c r="H884" s="5" t="str">
        <x:v>京东京造、康比特、诺特兰德、汤臣倍健、FoYes/赴野士、训练怪兽、Hot Rule、Myprotein、ON/欧普特蒙、肌肉科技</x:v>
      </x:c>
      <x:c r="I884" s="5" t="str">
        <x:v>自然</x:v>
      </x:c>
      <x:c r="J884" s="5" t="str">
        <x:v>未核实</x:v>
      </x:c>
    </x:row>
    <x:row r="885" ht="27" customHeight="1">
      <x:c r="A885" s="5" t="str">
        <x:v>千问</x:v>
      </x:c>
      <x:c r="B885" s="5" t="str">
        <x:v>Q14</x:v>
      </x:c>
      <x:c r="C885" s="5" t="str">
        <x:v>国产蛋白粉哪个牌子好？七款产品比较成品含量与配料_医联媒体</x:v>
      </x:c>
      <x:c r="D885" s="5" t="str">
        <x:v>https://www.yilianmeiti.com/article/2992814.html</x:v>
      </x:c>
      <x:c r="E885" s="5" t="str">
        <x:v>yilianmeiti.com</x:v>
      </x:c>
      <x:c r="F885" s="5" t="str">
        <x:v>其他网页</x:v>
      </x:c>
      <x:c r="G885" s="5" t="str">
        <x:v>否</x:v>
      </x:c>
      <x:c r="H885" s="5" t="str">
        <x:v>安琪纽特、京东京造、米当卡、南巨、英之素、康比特、Now Foods、禾微生物</x:v>
      </x:c>
      <x:c r="I885" s="5" t="str">
        <x:v>自然</x:v>
      </x:c>
      <x:c r="J885" s="5" t="str">
        <x:v>未核实</x:v>
      </x:c>
    </x:row>
    <x:row r="886" ht="27" customHeight="1">
      <x:c r="A886" s="5" t="str">
        <x:v>千问</x:v>
      </x:c>
      <x:c r="B886" s="5" t="str">
        <x:v>Q15</x:v>
      </x:c>
      <x:c r="C886" s="5" t="str">
        <x:v>国货运动营养品牌崛起：2026即食肌酸品牌关注度榜单 - 滚动资讯 - 中国产业发展研究网</x:v>
      </x:c>
      <x:c r="D886" s="5" t="str">
        <x:v>http://www.chinaidr.com/news/2026-05/256308.html</x:v>
      </x:c>
      <x:c r="E886" s="5" t="str">
        <x:v>chinaidr.com</x:v>
      </x:c>
      <x:c r="F886" s="5" t="str">
        <x:v>其他网页</x:v>
      </x:c>
      <x:c r="G886" s="5" t="str">
        <x:v>否</x:v>
      </x:c>
      <x:c r="H886" s="5" t="str">
        <x:v>赛霸/小赛同学、BD能量、康比特、诺特兰德、FoYes/赴野士、训练怪兽、迈胜、肌肉巅峰、潘海威元</x:v>
      </x:c>
      <x:c r="I886" s="5" t="str">
        <x:v>自然</x:v>
      </x:c>
      <x:c r="J886" s="5" t="str">
        <x:v>未核实</x:v>
      </x:c>
    </x:row>
    <x:row r="887" ht="27" customHeight="1">
      <x:c r="A887" s="5" t="str">
        <x:v>千问</x:v>
      </x:c>
      <x:c r="B887" s="5" t="str">
        <x:v>Q15</x:v>
      </x:c>
      <x:c r="C887" s="5" t="str">
        <x:v>五大支柱撑起"科学运动营养专业标杆"，FoYes的完整答卷--产业--中国经济新闻网</x:v>
      </x:c>
      <x:c r="D887" s="5" t="str">
        <x:v>https://www.cet.com.cn/wzsy/kjzx/cygdzx/10522111.shtml</x:v>
      </x:c>
      <x:c r="E887" s="5" t="str">
        <x:v>cet.com.cn</x:v>
      </x:c>
      <x:c r="F887" s="5" t="str">
        <x:v>综合媒体/转载</x:v>
      </x:c>
      <x:c r="G887" s="5" t="str">
        <x:v>否</x:v>
      </x:c>
      <x:c r="H887" s="5" t="str">
        <x:v>赛霸/小赛同学、BD能量、康比特、诺特兰德、FoYes/赴野士、训练怪兽、迈胜、肌肉巅峰、潘海威元</x:v>
      </x:c>
      <x:c r="I887" s="5" t="str">
        <x:v>自然</x:v>
      </x:c>
      <x:c r="J887" s="5" t="str">
        <x:v>未核实</x:v>
      </x:c>
    </x:row>
    <x:row r="888" ht="27" customHeight="1">
      <x:c r="A888" s="5" t="str">
        <x:v>千问</x:v>
      </x:c>
      <x:c r="B888" s="5" t="str">
        <x:v>Q15</x:v>
      </x:c>
      <x:c r="C888" s="5" t="str">
        <x:v>迈胜_百度百科</x:v>
      </x:c>
      <x:c r="D888" s="5" t="str">
        <x:v>https://baike.baidu.com/item/%E8%BF%88%E8%83%9C/67804986</x:v>
      </x:c>
      <x:c r="E888" s="5" t="str">
        <x:v>baike.baidu.com</x:v>
      </x:c>
      <x:c r="F888" s="5" t="str">
        <x:v>百科</x:v>
      </x:c>
      <x:c r="G888" s="5" t="str">
        <x:v>否</x:v>
      </x:c>
      <x:c r="H888" s="5" t="str">
        <x:v>赛霸/小赛同学、BD能量、康比特、诺特兰德、FoYes/赴野士、训练怪兽、迈胜、肌肉巅峰、潘海威元</x:v>
      </x:c>
      <x:c r="I888" s="5" t="str">
        <x:v>自然</x:v>
      </x:c>
      <x:c r="J888" s="5" t="str">
        <x:v>未核实</x:v>
      </x:c>
    </x:row>
    <x:row r="889" ht="27" customHeight="1">
      <x:c r="A889" s="5" t="str">
        <x:v>千问</x:v>
      </x:c>
      <x:c r="B889" s="5" t="str">
        <x:v>Q15</x:v>
      </x:c>
      <x:c r="C889" s="5" t="str">
        <x:v>首页-</x:v>
      </x:c>
      <x:c r="D889" s="5" t="str">
        <x:v>http://www.powerrun.net/</x:v>
      </x:c>
      <x:c r="E889" s="5" t="str">
        <x:v>powerrun.net</x:v>
      </x:c>
      <x:c r="F889" s="5" t="str">
        <x:v>其他网页</x:v>
      </x:c>
      <x:c r="G889" s="5" t="str">
        <x:v>否</x:v>
      </x:c>
      <x:c r="H889" s="5" t="str">
        <x:v>赛霸/小赛同学、BD能量、康比特、诺特兰德、FoYes/赴野士、训练怪兽、迈胜、肌肉巅峰、潘海威元</x:v>
      </x:c>
      <x:c r="I889" s="5" t="str">
        <x:v>自然</x:v>
      </x:c>
      <x:c r="J889" s="5" t="str">
        <x:v>未核实</x:v>
      </x:c>
    </x:row>
    <x:row r="890" ht="27" customHeight="1">
      <x:c r="A890" s="5" t="str">
        <x:v>千问</x:v>
      </x:c>
      <x:c r="B890" s="5" t="str">
        <x:v>Q16</x:v>
      </x:c>
      <x:c r="C890" s="5" t="str">
        <x:v>《卫生学_第9版》</x:v>
      </x:c>
      <x:c r="D890" s="5" t="str">
        <x:v>https://vt.quark.cn/blm/med-ai-page-946/index?x_render_type=ssr&amp;uc_biz_str=OPT%3ABACK_BTN_STYLE%400%7COPT%3AS_BAR_BG_COLOR%40ffffff&amp;query=VdB%2BLV7w7lHHEp%2Fo7ZfF0K0TLq2LPDPl5S2gAXcHFWM%3D&amp;url=VdB%2BLV7w7lHHEp%2Fo7ZfF0D%2FGcYWgqmiNaiq3f%2BIRmteRE9YxILpb9mxbE5eARNUXt44v%2FT2UvfFcOU%2Bw3PvFiA%3D%3D&amp;token=917966443475</x:v>
      </x:c>
      <x:c r="E890" s="5" t="str">
        <x:v>vt.quark.cn</x:v>
      </x:c>
      <x:c r="F890" s="5" t="str">
        <x:v>其他网页</x:v>
      </x:c>
      <x:c r="G890" s="5" t="str">
        <x:v>否</x:v>
      </x:c>
      <x:c r="H890" s="5" t="str"/>
      <x:c r="I890" s="5" t="str">
        <x:v>自然</x:v>
      </x:c>
      <x:c r="J890" s="5" t="str">
        <x:v>未核实</x:v>
      </x:c>
    </x:row>
    <x:row r="891" ht="27" customHeight="1">
      <x:c r="A891" s="5" t="str">
        <x:v>千问</x:v>
      </x:c>
      <x:c r="B891" s="5" t="str">
        <x:v>Q16</x:v>
      </x:c>
      <x:c r="C891" s="5" t="str">
        <x:v>健身如何补充蛋白质 推荐富含蛋白质的9种食物</x:v>
      </x:c>
      <x:c r="D891" s="5" t="str">
        <x:v>https://www.trfsz.com/newsview139588.html</x:v>
      </x:c>
      <x:c r="E891" s="5" t="str">
        <x:v>trfsz.com</x:v>
      </x:c>
      <x:c r="F891" s="5" t="str">
        <x:v>其他网页</x:v>
      </x:c>
      <x:c r="G891" s="5" t="str">
        <x:v>否</x:v>
      </x:c>
      <x:c r="H891" s="5" t="str"/>
      <x:c r="I891" s="5" t="str">
        <x:v>自然</x:v>
      </x:c>
      <x:c r="J891" s="5" t="str">
        <x:v>未核实</x:v>
      </x:c>
    </x:row>
    <x:row r="892" ht="27" customHeight="1">
      <x:c r="A892" s="5" t="str">
        <x:v>千问</x:v>
      </x:c>
      <x:c r="B892" s="5" t="str">
        <x:v>Q16</x:v>
      </x:c>
      <x:c r="C892" s="5" t="str">
        <x:v>《临床营养学_第1版》</x:v>
      </x:c>
      <x:c r="D892" s="5" t="str">
        <x:v>https://vt.quark.cn/blm/med-ai-page-946/index?x_render_type=ssr&amp;uc_biz_str=OPT%3ABACK_BTN_STYLE%400%7COPT%3AS_BAR_BG_COLOR%40ffffff&amp;query=VdB%2BLV7w7lHHEp%2Fo7ZfF0K0TLq2LPDPl5S2gAXcHFWM%3D&amp;url=VdB%2BLV7w7lHHEp%2Fo7ZfF0D%2FGcYWgqmiNaiq3f%2BIRmtceSlawpWNOpRoFdkj6RYZkjSUSf1kUFzWma0bzGT6vc%2FQz6wIqsJIoPm3MwdJWC%2FaI1br1cjShrZObziWZV2su&amp;token=917966443475</x:v>
      </x:c>
      <x:c r="E892" s="5" t="str">
        <x:v>vt.quark.cn</x:v>
      </x:c>
      <x:c r="F892" s="5" t="str">
        <x:v>其他网页</x:v>
      </x:c>
      <x:c r="G892" s="5" t="str">
        <x:v>否</x:v>
      </x:c>
      <x:c r="H892" s="5" t="str"/>
      <x:c r="I892" s="5" t="str">
        <x:v>自然</x:v>
      </x:c>
      <x:c r="J892" s="5" t="str">
        <x:v>未核实</x:v>
      </x:c>
    </x:row>
    <x:row r="893" ht="27" customHeight="1">
      <x:c r="A893" s="5" t="str">
        <x:v>千问</x:v>
      </x:c>
      <x:c r="B893" s="5" t="str">
        <x:v>Q16</x:v>
      </x:c>
      <x:c r="C893" s="5" t="str">
        <x:v>增肌必备：健身人群的最佳蛋白质来源与营养策略</x:v>
      </x:c>
      <x:c r="D893" s="5" t="str">
        <x:v>http://www.sohu.com/a/845930442_121956422</x:v>
      </x:c>
      <x:c r="E893" s="5" t="str">
        <x:v>sohu.com</x:v>
      </x:c>
      <x:c r="F893" s="5" t="str">
        <x:v>综合媒体/转载</x:v>
      </x:c>
      <x:c r="G893" s="5" t="str">
        <x:v>否</x:v>
      </x:c>
      <x:c r="H893" s="5" t="str"/>
      <x:c r="I893" s="5" t="str">
        <x:v>自然</x:v>
      </x:c>
      <x:c r="J893" s="5" t="str">
        <x:v>未核实</x:v>
      </x:c>
    </x:row>
    <x:row r="894" ht="27" customHeight="1">
      <x:c r="A894" s="5" t="str">
        <x:v>千问</x:v>
      </x:c>
      <x:c r="B894" s="5" t="str">
        <x:v>Q16</x:v>
      </x:c>
      <x:c r="C894" s="5" t="str">
        <x:v>健身补充蛋白质吃什么最好</x:v>
      </x:c>
      <x:c r="D894" s="5" t="str">
        <x:v>https://www.jns8y.cn/display.asp?did=12444&amp;id=29</x:v>
      </x:c>
      <x:c r="E894" s="5" t="str">
        <x:v>jns8y.cn</x:v>
      </x:c>
      <x:c r="F894" s="5" t="str">
        <x:v>其他网页</x:v>
      </x:c>
      <x:c r="G894" s="5" t="str">
        <x:v>否</x:v>
      </x:c>
      <x:c r="H894" s="5" t="str"/>
      <x:c r="I894" s="5" t="str">
        <x:v>自然</x:v>
      </x:c>
      <x:c r="J894" s="5" t="str">
        <x:v>未核实</x:v>
      </x:c>
    </x:row>
    <x:row r="895" ht="27" customHeight="1">
      <x:c r="A895" s="5" t="str">
        <x:v>千问</x:v>
      </x:c>
      <x:c r="B895" s="5" t="str">
        <x:v>Q16</x:v>
      </x:c>
      <x:c r="C895" s="5" t="str">
        <x:v>健身必备：每日蛋白质摄入量指南及高蛋白食物推荐</x:v>
      </x:c>
      <x:c r="D895" s="5" t="str">
        <x:v>https://www.sohu.com/a/1034164474_121912641</x:v>
      </x:c>
      <x:c r="E895" s="5" t="str">
        <x:v>sohu.com</x:v>
      </x:c>
      <x:c r="F895" s="5" t="str">
        <x:v>综合媒体/转载</x:v>
      </x:c>
      <x:c r="G895" s="5" t="str">
        <x:v>否</x:v>
      </x:c>
      <x:c r="H895" s="5" t="str"/>
      <x:c r="I895" s="5" t="str">
        <x:v>自然</x:v>
      </x:c>
      <x:c r="J895" s="5" t="str">
        <x:v>未核实</x:v>
      </x:c>
    </x:row>
    <x:row r="896" ht="27" customHeight="1">
      <x:c r="A896" s="5" t="str">
        <x:v>千问</x:v>
      </x:c>
      <x:c r="B896" s="5" t="str">
        <x:v>Q16</x:v>
      </x:c>
      <x:c r="C896" s="5" t="str">
        <x:v>健身恢复期，这些蛋白质来源要记牢</x:v>
      </x:c>
      <x:c r="D896" s="5" t="str">
        <x:v>https://page.sm.cn/blm/midpage-317/index?h=iknow.v5.quark.cn&amp;id=28_4effe65ea77234dba5988f65a80397f7&amp;anchor=%F0%9F%A5%9B+%E5%A5%B6%E5%88%B6%E5%93%81%E7%B1%BB+%E7%89%9B%E5%A5%B6%E3%80%81%E9%85%B8%E5%A5%B6%E9%83%BD%E6%98%AF%E4%B8%8D%E9%94%99%E7%9A%84%E9%80%89%E6%8B%A9%EF%BC%8C%E5%AE%83%E4%BB%AC%E4%B8%8D%E4%BB%85%E8%83%BD%E6%8F%90%E4%BE%9B%E8%9B%8B%E7%99%BD%E8%B4%A8%EF%BC%8C%E8%BF%98%E8%83%BD%E9%A1%BA%E4%BE%BF%E8%A1%A5%E5%85%85%E9%92%99%E8%B4%A8%E3%80%82+%F0%9F%A5%A9+%E7%BA%A2%E8%82%89%E4%B8%8E%E7%99%BD%E8%82%89+%E7%89%9B%E8%82%89%E6%98%AF%E5%81%A5%E8%BA%AB%E9%A4%90%E6%A1%8C%E4%B8%8A%E5%B8%B8%E5%AE%A2%EF%BC%8C%E5%AE%83%E5%AF%8C%E5%90%AB%E9%93%81%E5%92%8C%E8%82%8C%E6%B0%A8%E9%85%B8%E3%80%82+%E9%B8%A1%E8%83%B8%E8%82%89%E4%B9%9F%E6%98%AF%E4%BD%8E%E8%84%82%E8%82%AA%E3%80%81%E9%AB%98%E8%9B%8B%E7%99%BD%E7%9A%84%E4%BB%A3%E8%A1%A8%EF%BC%8C%E5%BE%88%E9%80%82%E5%90%88%E5%81%A5%E8%BA%AB%E4%BA%BA%E7%BE%A4%E3%80%82+%E9%B1%BC%E7%B1%BB%E5%A6%82%E4%B8%89%E6%96%87</x:v>
      </x:c>
      <x:c r="E896" s="5" t="str">
        <x:v>page.sm.cn</x:v>
      </x:c>
      <x:c r="F896" s="5" t="str">
        <x:v>其他网页</x:v>
      </x:c>
      <x:c r="G896" s="5" t="str">
        <x:v>否</x:v>
      </x:c>
      <x:c r="H896" s="5" t="str"/>
      <x:c r="I896" s="5" t="str">
        <x:v>自然</x:v>
      </x:c>
      <x:c r="J896" s="5" t="str">
        <x:v>未核实</x:v>
      </x:c>
    </x:row>
    <x:row r="897" ht="27" customHeight="1">
      <x:c r="A897" s="5" t="str">
        <x:v>千问</x:v>
      </x:c>
      <x:c r="B897" s="5" t="str">
        <x:v>Q16</x:v>
      </x:c>
      <x:c r="C897" s="5" t="str">
        <x:v>科技园地</x:v>
      </x:c>
      <x:c r="D897" s="5" t="str">
        <x:v>http://ty.shandong.gov.cn/kjjy/kjyd/202003/t20200324_3055642.html</x:v>
      </x:c>
      <x:c r="E897" s="5" t="str">
        <x:v>ty.shandong.gov.cn</x:v>
      </x:c>
      <x:c r="F897" s="5" t="str">
        <x:v>官方机构</x:v>
      </x:c>
      <x:c r="G897" s="5" t="str">
        <x:v>否</x:v>
      </x:c>
      <x:c r="H897" s="5" t="str"/>
      <x:c r="I897" s="5" t="str">
        <x:v>自然</x:v>
      </x:c>
      <x:c r="J897" s="5" t="str">
        <x:v>未核实</x:v>
      </x:c>
    </x:row>
    <x:row r="898" ht="27" customHeight="1">
      <x:c r="A898" s="5" t="str">
        <x:v>千问</x:v>
      </x:c>
      <x:c r="B898" s="5" t="str">
        <x:v>Q16</x:v>
      </x:c>
      <x:c r="C898" s="5" t="str">
        <x:v>《体育_第7版》</x:v>
      </x:c>
      <x:c r="D898" s="5" t="str">
        <x:v>https://vt.quark.cn/blm/med-ai-page-946/index?x_render_type=ssr&amp;uc_biz_str=OPT%3ABACK_BTN_STYLE%400%7COPT%3AS_BAR_BG_COLOR%40ffffff&amp;query=VdB%2BLV7w7lHHEp%2Fo7ZfF0K0TLq2LPDPl5S2gAXcHFWM%3D&amp;url=VdB%2BLV7w7lHHEp%2Fo7ZfF0D%2FGcYWgqmiNaiq3f%2BIRmtfEfRHEV9no6DDHmidG3RkIB17mx79R4RGWcYacaLoTDuE781I1%2BNhY7vWspwhdrmO93ndQFEbGOdY1N3N7XkWi&amp;token=917966443475</x:v>
      </x:c>
      <x:c r="E898" s="5" t="str">
        <x:v>vt.quark.cn</x:v>
      </x:c>
      <x:c r="F898" s="5" t="str">
        <x:v>其他网页</x:v>
      </x:c>
      <x:c r="G898" s="5" t="str">
        <x:v>否</x:v>
      </x:c>
      <x:c r="H898" s="5" t="str"/>
      <x:c r="I898" s="5" t="str">
        <x:v>自然</x:v>
      </x:c>
      <x:c r="J898" s="5" t="str">
        <x:v>未核实</x:v>
      </x:c>
    </x:row>
    <x:row r="899" ht="27" customHeight="1">
      <x:c r="A899" s="5" t="str">
        <x:v>千问</x:v>
      </x:c>
      <x:c r="B899" s="5" t="str">
        <x:v>Q16</x:v>
      </x:c>
      <x:c r="C899" s="5" t="str">
        <x:v>蛋白质的来源分类</x:v>
      </x:c>
      <x:c r="D899" s="5" t="str">
        <x:v>https://page.sm.cn/blm/midpage-317/index?h=v2.hao_produce_note.quark.cn&amp;id=28_1aeb175b9baa870fca0ea3f66f0cb417&amp;anchor=%E8%9B%8B%E7%99%BD%E8%B4%A8%E6%9D%A5%E6%BA%90%E5%8F%AF%E4%BB%A5%E6%A0%B9%E6%8D%AE%E5%85%B6%E6%98%AF%E5%90%A6%E6%9D%A5%E8%87%AA%E5%8A%A8%E7%89%A9%E6%80%A7%E9%A3%9F%E5%93%81%E6%88%96%E6%A4%8D%E7%89%A9%E6%80%A7%E9%A3%9F%E5%93%81%E8%BF%9B%E8%A1%8C%E5%88%86%E7%B1%BB%EF%BC%9A+%E4%B8%80%E3%80%81%E5%8A%A8%E7%89%A9%E6%80%A7%E8%9B%8B%E7%99%BD%E8%B4%A8%E6%9D%A5%E6%BA%90%EF%BC%9A+1.%E8%82%89%E7%B1%BB%EF%BC%9A%E7%89%9B%E8%82%89%E3%80%81%E7%8C%AA%E8%82%89%E3%80%81%E7%BE%8A%E8%82%89%E3%80%81%E5%AE%B6%E7%A6%BD%E8%82%89%EF%BC%88%E5%A6%82%E9%B8%A1%E8%82%89%E3%80%81%E7%81%AB%E9%B8%A1%E8%82%89%EF%BC%89%E7%AD%89%E3%80%82+2%E3%80%81%E9%B1%BC%E7%B1%BB%E5%92%8C%E6%B5%B7%E9%B2%9C%EF%BC%9A%E4%B8%89%E6%96%87%E9%B1%BC%E3%80%81%E9%87%91%E6%9E%AA%E9%B1%BC%E3%80%81%E9%B3%95%E9%B1%BC%E3%80%81%E8%99%BE%E3%80%81%E8%9F%B9%E3%80%81%E8%B4%9D%E7%B1%BB%E7%AD%89%E3%80%82</x:v>
      </x:c>
      <x:c r="E899" s="5" t="str">
        <x:v>page.sm.cn</x:v>
      </x:c>
      <x:c r="F899" s="5" t="str">
        <x:v>其他网页</x:v>
      </x:c>
      <x:c r="G899" s="5" t="str">
        <x:v>否</x:v>
      </x:c>
      <x:c r="H899" s="5" t="str"/>
      <x:c r="I899" s="5" t="str">
        <x:v>自然</x:v>
      </x:c>
      <x:c r="J899" s="5" t="str">
        <x:v>未核实</x:v>
      </x:c>
    </x:row>
    <x:row r="900" ht="27" customHeight="1">
      <x:c r="A900" s="5" t="str">
        <x:v>千问</x:v>
      </x:c>
      <x:c r="B900" s="5" t="str">
        <x:v>Q16</x:v>
      </x:c>
      <x:c r="C900" s="5" t="str">
        <x:v>不同人群，蛋白质来源原来大不同</x:v>
      </x:c>
      <x:c r="D900" s="5" t="str">
        <x:v>https://page.sm.cn/blm/midpage-317/index?h=iknow.v5.quark.cn&amp;id=28_efe32b5dd780c660fd77cf246f0cfb9e&amp;anchor=%F0%9F%8C%B1+%E6%A4%8D%E7%89%A9%E6%80%A7%E8%9B%8B%E7%99%BD%E8%B4%A8+%E4%B8%BB%E8%A6%81%E6%9D%A5%E8%87%AA%E8%B1%86%E7%B1%BB%E3%80%81%E5%9D%9A%E6%9E%9C%E3%80%81%E7%A7%8D%E5%AD%90%E5%92%8C%E5%85%A8%E8%B0%B7%E7%89%A9%E3%80%82%E8%BF%99%E7%B1%BB%E8%9B%8B%E7%99%BD%E8%B4%A8%E9%80%82%E5%90%88%EF%BC%9A+%E7%B4%A0%E9%A3%9F%E4%B8%BB%E4%B9%89%E8%80%85%EF%BC%9A%E7%94%B1%E4%BA%8E%E9%A5%AE%E9%A3%9F%E9%99%90%E5%88%B6%EF%BC%8C%E6%A4%8D%E7%89%A9%E6%80%A7%E8%9B%8B%E7%99%BD%E8%B4%A8%E6%98%AF%E4%BB%96%E4%BB%AC%E7%9A%84%E4%B8%BB%E8%A6%81%E8%9B%8B%E7%99%BD%E8%B4%A8%E6%9D%A5%E6%BA%90%E3%80%82+%E5%81%A5%E5%BA%B7%E9%A5%AE%E9%A3%9F%E8%BF%BD%E6%B1%82%E8%80%85%EF%BC%9A%E9%9C%80%E8%A6%81%E6%8E%A7%E5%88%B6%E8%84%82%E8%82%AA%E6%91%84%E5%85%A5%EF%BC%8C%E6%A4%8D%E7%89%A9%E6%80%A7%E8%9B%8B%E7%99%BD%E8%B4%A8%E7%9B%B8%E5%AF%B9%E8%84%82%E8%82%AA%E5%90%AB%E9%87%8F%E8%BE%83%E4%BD%8E%EF%BC%8C%E9%80%82</x:v>
      </x:c>
      <x:c r="E900" s="5" t="str">
        <x:v>page.sm.cn</x:v>
      </x:c>
      <x:c r="F900" s="5" t="str">
        <x:v>其他网页</x:v>
      </x:c>
      <x:c r="G900" s="5" t="str">
        <x:v>否</x:v>
      </x:c>
      <x:c r="H900" s="5" t="str"/>
      <x:c r="I900" s="5" t="str">
        <x:v>自然</x:v>
      </x:c>
      <x:c r="J900" s="5" t="str">
        <x:v>未核实</x:v>
      </x:c>
    </x:row>
    <x:row r="901" ht="27" customHeight="1">
      <x:c r="A901" s="5" t="str">
        <x:v>千问</x:v>
      </x:c>
      <x:c r="B901" s="5" t="str">
        <x:v>Q16</x:v>
      </x:c>
      <x:c r="C901" s="5" t="str">
        <x:v>蛋白质来源，原来分这么多类</x:v>
      </x:c>
      <x:c r="D901" s="5" t="str">
        <x:v>https://page.sm.cn/blm/midpage-317/index?h=iknow.v4_3.quark.cn&amp;id=28_9eed96f6d797465387f62716c40880b3&amp;anchor=%E5%8A%A8%E7%89%A9%E6%80%A7%E8%9B%8B%E7%99%BD%E8%B4%A8+%E8%BF%99%E6%98%AF%E6%88%91%E4%BB%AC%E6%9C%80%E7%86%9F%E6%82%89%E7%9A%84%E6%9D%A5%E6%BA%90%EF%BC%8C%E4%B8%BB%E8%A6%81%E6%9D%A5%E8%87%AA%E5%8A%A8%E7%89%A9%E6%80%A7%E9%A3%9F%E5%93%81%E3%80%82+%E8%82%89%E7%B1%BB%EF%BC%9A%E7%89%9B%E8%82%89%E3%80%81%E7%8C%AA%E8%82%89%E3%80%81%E7%BE%8A%E8%82%89%E3%80%81%E5%AE%B6%E7%A6%BD%E8%82%89%EF%BC%88%E5%A6%82%E9%B8%A1%E8%82%89%E3%80%81%E7%81%AB%E9%B8%A1%E8%82%89%EF%BC%89%E3%80%82+%E9%B1%BC%E7%B1%BB%E5%92%8C%E6%B5%B7%E9%B2%9C%EF%BC%9A%E4%B8%89%E6%96%87%E9%B1%BC%E3%80%81%E9%87%91%E6%9E%AA%E9%B1%BC%E3%80%81%E9%B3%95%E9%B1%BC%E3%80%81%E8%99%BE%E3%80%81%E8%9F%B9%E3%80%81%E8%B4%9D%E7%B1%BB%E7%AD%89%E3%80%82+%E4%B9%B3%E5%88%B6%E5%93%81%EF%BC%9A%E7%89%9B%E5%A5%B6%E3%80%81%E9%85%B8%E5%A5%B6%E3%80%81%E5%A5%B6%E9%85%AA%E3%80%81%E5%A5%B6%E6%B2%B9%E3%80%81%E9%BB%84%E6%B2%B9%E7%AD%89</x:v>
      </x:c>
      <x:c r="E901" s="5" t="str">
        <x:v>page.sm.cn</x:v>
      </x:c>
      <x:c r="F901" s="5" t="str">
        <x:v>其他网页</x:v>
      </x:c>
      <x:c r="G901" s="5" t="str">
        <x:v>否</x:v>
      </x:c>
      <x:c r="H901" s="5" t="str"/>
      <x:c r="I901" s="5" t="str">
        <x:v>自然</x:v>
      </x:c>
      <x:c r="J901" s="5" t="str">
        <x:v>未核实</x:v>
      </x:c>
    </x:row>
    <x:row r="902" ht="27" customHeight="1">
      <x:c r="A902" s="5" t="str">
        <x:v>千问</x:v>
      </x:c>
      <x:c r="B902" s="5" t="str">
        <x:v>Q17</x:v>
      </x:c>
      <x:c r="C902" s="5" t="str">
        <x:v>怡可纳品牌介绍-怡可纳蛋白粉_乳清蛋白粉-买购APP</x:v>
      </x:c>
      <x:c r="D902" s="5" t="str">
        <x:v>https://m.maigoo.com/brand/1635897.html</x:v>
      </x:c>
      <x:c r="E902" s="5" t="str">
        <x:v>maigoo.com</x:v>
      </x:c>
      <x:c r="F902" s="5" t="str">
        <x:v>其他网页</x:v>
      </x:c>
      <x:c r="G902" s="5" t="str">
        <x:v>是</x:v>
      </x:c>
      <x:c r="H902" s="5" t="str">
        <x:v>怡可纳</x:v>
      </x:c>
      <x:c r="I902" s="5" t="str">
        <x:v>主动</x:v>
      </x:c>
      <x:c r="J902" s="5" t="str">
        <x:v>未核实</x:v>
      </x:c>
    </x:row>
    <x:row r="903" ht="27" customHeight="1">
      <x:c r="A903" s="5" t="str">
        <x:v>千问</x:v>
      </x:c>
      <x:c r="B903" s="5" t="str">
        <x:v>Q17</x:v>
      </x:c>
      <x:c r="C903" s="5" t="str">
        <x:v>怡可纳蛋白粉，口感清爽溶解快，但要注意这几点</x:v>
      </x:c>
      <x:c r="D903" s="5" t="str">
        <x:v>https://page.sm.cn/blm/node-page-new-995/index?h=iknow.v5.quark.cn&amp;id=28_518e5f443d0794dad92ced4c51e1f4ff</x:v>
      </x:c>
      <x:c r="E903" s="5" t="str">
        <x:v>page.sm.cn</x:v>
      </x:c>
      <x:c r="F903" s="5" t="str">
        <x:v>其他网页</x:v>
      </x:c>
      <x:c r="G903" s="5" t="str">
        <x:v>是</x:v>
      </x:c>
      <x:c r="H903" s="5" t="str">
        <x:v>怡可纳</x:v>
      </x:c>
      <x:c r="I903" s="5" t="str">
        <x:v>主动</x:v>
      </x:c>
      <x:c r="J903" s="5" t="str">
        <x:v>未核实</x:v>
      </x:c>
    </x:row>
    <x:row r="904" ht="27" customHeight="1">
      <x:c r="A904" s="5" t="str">
        <x:v>千问</x:v>
      </x:c>
      <x:c r="B904" s="5" t="str">
        <x:v>Q17</x:v>
      </x:c>
      <x:c r="C904" s="5" t="str">
        <x:v>苏州怡可纳园林有限公司 (苏州市相城区元和街道喜庆路99号三楼B区B-3002室邮政编码215137) | 江苏新工商名录 - 名录集</x:v>
      </x:c>
      <x:c r="D904" s="5" t="str">
        <x:v>https://gongshang.mingluji.com/jiangsu/name/%E8%8B%8F%E5%B7%9E%E6%80%A1%E5%8F%AF%E7%BA%B3%E5%9B%AD%E6%9E%97%E6%9C%89%E9%99%90%E5%85%AC%E5%8F%B8</x:v>
      </x:c>
      <x:c r="E904" s="5" t="str">
        <x:v>gongshang.mingluji.com</x:v>
      </x:c>
      <x:c r="F904" s="5" t="str">
        <x:v>其他网页</x:v>
      </x:c>
      <x:c r="G904" s="5" t="str">
        <x:v>是</x:v>
      </x:c>
      <x:c r="H904" s="5" t="str">
        <x:v>怡可纳</x:v>
      </x:c>
      <x:c r="I904" s="5" t="str">
        <x:v>主动</x:v>
      </x:c>
      <x:c r="J904" s="5" t="str">
        <x:v>未核实</x:v>
      </x:c>
    </x:row>
    <x:row r="905" ht="27" customHeight="1">
      <x:c r="A905" s="5" t="str">
        <x:v>千问</x:v>
      </x:c>
      <x:c r="B905" s="5" t="str">
        <x:v>Q17</x:v>
      </x:c>
      <x:c r="C905" s="5" t="str">
        <x:v>怡可纳蛋白粉，只推荐绿豆味！</x:v>
      </x:c>
      <x:c r="D905" s="5" t="str">
        <x:v>https://page.sm.cn/blm/node-page-new-995/index?h=iknow.v4_3.quark.cn&amp;id=28_760809b881176716ff58ce5a553379d0</x:v>
      </x:c>
      <x:c r="E905" s="5" t="str">
        <x:v>page.sm.cn</x:v>
      </x:c>
      <x:c r="F905" s="5" t="str">
        <x:v>其他网页</x:v>
      </x:c>
      <x:c r="G905" s="5" t="str">
        <x:v>是</x:v>
      </x:c>
      <x:c r="H905" s="5" t="str">
        <x:v>怡可纳</x:v>
      </x:c>
      <x:c r="I905" s="5" t="str">
        <x:v>主动</x:v>
      </x:c>
      <x:c r="J905" s="5" t="str">
        <x:v>未核实</x:v>
      </x:c>
    </x:row>
    <x:row r="906" ht="27" customHeight="1">
      <x:c r="A906" s="5" t="str">
        <x:v>千问</x:v>
      </x:c>
      <x:c r="B906" s="5" t="str">
        <x:v>Q17</x:v>
      </x:c>
      <x:c r="C906" s="5" t="str">
        <x:v>怡可纳抖音品牌数据分析_商品数55/达人数418-蝉妈妈</x:v>
      </x:c>
      <x:c r="D906" s="5" t="str">
        <x:v>https://www.chanmama.com/open/brandRank/0638870533698.html</x:v>
      </x:c>
      <x:c r="E906" s="5" t="str">
        <x:v>chanmama.com</x:v>
      </x:c>
      <x:c r="F906" s="5" t="str">
        <x:v>其他网页</x:v>
      </x:c>
      <x:c r="G906" s="5" t="str">
        <x:v>是</x:v>
      </x:c>
      <x:c r="H906" s="5" t="str">
        <x:v>怡可纳</x:v>
      </x:c>
      <x:c r="I906" s="5" t="str">
        <x:v>主动</x:v>
      </x:c>
      <x:c r="J906" s="5" t="str">
        <x:v>未核实</x:v>
      </x:c>
    </x:row>
    <x:row r="907" ht="27" customHeight="1">
      <x:c r="A907" s="5" t="str">
        <x:v>千问</x:v>
      </x:c>
      <x:c r="B907" s="5" t="str">
        <x:v>Q17</x:v>
      </x:c>
      <x:c r="C907" s="5" t="str">
        <x:v>怡可纳高因咖啡，提神效果绝了！</x:v>
      </x:c>
      <x:c r="D907" s="5" t="str">
        <x:v>https://page.sm.cn/blm/node-page-new-995/index?h=iknow.v5_1.quark.cn&amp;id=28_65d898ae6eea6b60eb800f72b3979e96</x:v>
      </x:c>
      <x:c r="E907" s="5" t="str">
        <x:v>page.sm.cn</x:v>
      </x:c>
      <x:c r="F907" s="5" t="str">
        <x:v>其他网页</x:v>
      </x:c>
      <x:c r="G907" s="5" t="str">
        <x:v>是</x:v>
      </x:c>
      <x:c r="H907" s="5" t="str">
        <x:v>怡可纳</x:v>
      </x:c>
      <x:c r="I907" s="5" t="str">
        <x:v>主动</x:v>
      </x:c>
      <x:c r="J907" s="5" t="str">
        <x:v>未核实</x:v>
      </x:c>
    </x:row>
    <x:row r="908" ht="27" customHeight="1">
      <x:c r="A908" s="5" t="str">
        <x:v>千问</x:v>
      </x:c>
      <x:c r="B908" s="5" t="str">
        <x:v>Q17</x:v>
      </x:c>
      <x:c r="C908" s="5" t="str">
        <x:v>怡可纳旗舰店-网店→买购APP</x:v>
      </x:c>
      <x:c r="D908" s="5" t="str">
        <x:v>https://www.maigoo.com/webshop/452745.html</x:v>
      </x:c>
      <x:c r="E908" s="5" t="str">
        <x:v>maigoo.com</x:v>
      </x:c>
      <x:c r="F908" s="5" t="str">
        <x:v>其他网页</x:v>
      </x:c>
      <x:c r="G908" s="5" t="str">
        <x:v>是</x:v>
      </x:c>
      <x:c r="H908" s="5" t="str">
        <x:v>怡可纳</x:v>
      </x:c>
      <x:c r="I908" s="5" t="str">
        <x:v>主动</x:v>
      </x:c>
      <x:c r="J908" s="5" t="str">
        <x:v>未核实</x:v>
      </x:c>
    </x:row>
    <x:row r="909" ht="27" customHeight="1">
      <x:c r="A909" s="5" t="str">
        <x:v>千问</x:v>
      </x:c>
      <x:c r="B909" s="5" t="str">
        <x:v>Q18</x:v>
      </x:c>
      <x:c r="C909" s="5" t="str">
        <x:v>怡可纳蛋白粉，口感清爽溶解快，但要注意这几点</x:v>
      </x:c>
      <x:c r="D909" s="5" t="str">
        <x:v>https://page.sm.cn/blm/node-page-new-995/index?h=iknow.v5.quark.cn&amp;id=28_518e5f443d0794dad92ced4c51e1f4ff</x:v>
      </x:c>
      <x:c r="E909" s="5" t="str">
        <x:v>page.sm.cn</x:v>
      </x:c>
      <x:c r="F909" s="5" t="str">
        <x:v>其他网页</x:v>
      </x:c>
      <x:c r="G909" s="5" t="str">
        <x:v>是</x:v>
      </x:c>
      <x:c r="H909" s="5" t="str">
        <x:v>怡可纳</x:v>
      </x:c>
      <x:c r="I909" s="5" t="str">
        <x:v>主动</x:v>
      </x:c>
      <x:c r="J909" s="5" t="str">
        <x:v>未核实</x:v>
      </x:c>
    </x:row>
    <x:row r="910" ht="27" customHeight="1">
      <x:c r="A910" s="5" t="str">
        <x:v>千问</x:v>
      </x:c>
      <x:c r="B910" s="5" t="str">
        <x:v>Q18</x:v>
      </x:c>
      <x:c r="C910" s="5" t="str">
        <x:v>怡可纳酵母蛋白粉，肠胃友好又好喝！</x:v>
      </x:c>
      <x:c r="D910" s="5" t="str">
        <x:v>https://page.sm.cn/blm/node-page-new-995/index?h=iknow.v5.quark.cn&amp;id=28_72b379dcb0e29c55f6b95fc758574740</x:v>
      </x:c>
      <x:c r="E910" s="5" t="str">
        <x:v>page.sm.cn</x:v>
      </x:c>
      <x:c r="F910" s="5" t="str">
        <x:v>其他网页</x:v>
      </x:c>
      <x:c r="G910" s="5" t="str">
        <x:v>是</x:v>
      </x:c>
      <x:c r="H910" s="5" t="str">
        <x:v>怡可纳</x:v>
      </x:c>
      <x:c r="I910" s="5" t="str">
        <x:v>主动</x:v>
      </x:c>
      <x:c r="J910" s="5" t="str">
        <x:v>未核实</x:v>
      </x:c>
    </x:row>
    <x:row r="911" ht="27" customHeight="1">
      <x:c r="A911" s="5" t="str">
        <x:v>千问</x:v>
      </x:c>
      <x:c r="B911" s="5" t="str">
        <x:v>Q18</x:v>
      </x:c>
      <x:c r="C911" s="5" t="str">
        <x:v>怡可纳 酵母蛋白粉 71%蛋白质 绿豆沙口味 2.27kg+摇摇杯 169元（需用券） - 京东商城 | 逛丢 | 实时同步全网折扣</x:v>
      </x:c>
      <x:c r="D911" s="5" t="str">
        <x:v>https://guangdiu.com/detail.php?id=28759903</x:v>
      </x:c>
      <x:c r="E911" s="5" t="str">
        <x:v>guangdiu.com</x:v>
      </x:c>
      <x:c r="F911" s="5" t="str">
        <x:v>其他网页</x:v>
      </x:c>
      <x:c r="G911" s="5" t="str">
        <x:v>是</x:v>
      </x:c>
      <x:c r="H911" s="5" t="str">
        <x:v>怡可纳</x:v>
      </x:c>
      <x:c r="I911" s="5" t="str">
        <x:v>主动</x:v>
      </x:c>
      <x:c r="J911" s="5" t="str">
        <x:v>未核实</x:v>
      </x:c>
    </x:row>
    <x:row r="912" ht="27" customHeight="1">
      <x:c r="A912" s="5" t="str">
        <x:v>千问</x:v>
      </x:c>
      <x:c r="B912" s="5" t="str">
        <x:v>Q18</x:v>
      </x:c>
      <x:c r="C912" s="5" t="str">
        <x:v>学生党选择什么蛋白粉最有性价比，今天我们讲酵母蛋白#健身#健身补剂#酵母蛋白#怡可纳酵母蛋白#蛋白质补充</x:v>
      </x:c>
      <x:c r="D912" s="5" t="str">
        <x:v>http://v1.user_auth_video.quark.cn?item_id=381a08358fd944679832365789cf609f</x:v>
      </x:c>
      <x:c r="E912" s="5" t="str">
        <x:v>v1.user_auth_video.quark.cn</x:v>
      </x:c>
      <x:c r="F912" s="5" t="str">
        <x:v>其他网页</x:v>
      </x:c>
      <x:c r="G912" s="5" t="str">
        <x:v>是</x:v>
      </x:c>
      <x:c r="H912" s="5" t="str">
        <x:v>怡可纳</x:v>
      </x:c>
      <x:c r="I912" s="5" t="str">
        <x:v>主动</x:v>
      </x:c>
      <x:c r="J912" s="5" t="str">
        <x:v>未核实</x:v>
      </x:c>
    </x:row>
    <x:row r="913" ht="27" customHeight="1">
      <x:c r="A913" s="5" t="str">
        <x:v>千问</x:v>
      </x:c>
      <x:c r="B913" s="5" t="str">
        <x:v>Q18</x:v>
      </x:c>
      <x:c r="C913" s="5" t="str">
        <x:v>蛋白粉品鉴记：怡可纳和马泰时刻，清淡合我口味</x:v>
      </x:c>
      <x:c r="D913" s="5" t="str">
        <x:v>https://page.sm.cn/blm/node-page-new-995/index?h=iknow.v5_1.quark.cn&amp;id=28_d8d3ed76f5ab4e1c6d55e3f28f233c81</x:v>
      </x:c>
      <x:c r="E913" s="5" t="str">
        <x:v>page.sm.cn</x:v>
      </x:c>
      <x:c r="F913" s="5" t="str">
        <x:v>其他网页</x:v>
      </x:c>
      <x:c r="G913" s="5" t="str">
        <x:v>是</x:v>
      </x:c>
      <x:c r="H913" s="5" t="str">
        <x:v>怡可纳</x:v>
      </x:c>
      <x:c r="I913" s="5" t="str">
        <x:v>主动</x:v>
      </x:c>
      <x:c r="J913" s="5" t="str">
        <x:v>未核实</x:v>
      </x:c>
    </x:row>
    <x:row r="914" ht="27" customHeight="1">
      <x:c r="A914" s="5" t="str">
        <x:v>千问</x:v>
      </x:c>
      <x:c r="B914" s="5" t="str">
        <x:v>Q19</x:v>
      </x:c>
      <x:c r="C914" s="5" t="str">
        <x:v>怡可纳蛋白粉，乳糖不耐也能喝的麦香版</x:v>
      </x:c>
      <x:c r="D914" s="5" t="str">
        <x:v>https://page.sm.cn/blm/node-page-new-995/index?h=iknow.v5.quark.cn&amp;id=28_65c2baa86a8d895bd2cb09b9232e4cf4</x:v>
      </x:c>
      <x:c r="E914" s="5" t="str">
        <x:v>page.sm.cn</x:v>
      </x:c>
      <x:c r="F914" s="5" t="str">
        <x:v>其他网页</x:v>
      </x:c>
      <x:c r="G914" s="5" t="str">
        <x:v>是</x:v>
      </x:c>
      <x:c r="H914" s="5" t="str">
        <x:v>怡可纳</x:v>
      </x:c>
      <x:c r="I914" s="5" t="str">
        <x:v>主动</x:v>
      </x:c>
      <x:c r="J914" s="5" t="str">
        <x:v>未核实</x:v>
      </x:c>
    </x:row>
    <x:row r="915" ht="27" customHeight="1">
      <x:c r="A915" s="5" t="str">
        <x:v>千问</x:v>
      </x:c>
      <x:c r="B915" s="5" t="str">
        <x:v>Q19</x:v>
      </x:c>
      <x:c r="C915" s="5" t="str">
        <x:v>移动端：肌肉科技 白金系列分离乳清蛋白粉 263元（淘金币可抵31.04元起） - 天猫 | 逛丢 | 实时同步全网折扣</x:v>
      </x:c>
      <x:c r="D915" s="5" t="str">
        <x:v>https://guangdiu.com/detail.php?id=28953291&amp;tom=1</x:v>
      </x:c>
      <x:c r="E915" s="5" t="str">
        <x:v>guangdiu.com</x:v>
      </x:c>
      <x:c r="F915" s="5" t="str">
        <x:v>其他网页</x:v>
      </x:c>
      <x:c r="G915" s="5" t="str">
        <x:v>是</x:v>
      </x:c>
      <x:c r="H915" s="5" t="str">
        <x:v>怡可纳</x:v>
      </x:c>
      <x:c r="I915" s="5" t="str">
        <x:v>主动</x:v>
      </x:c>
      <x:c r="J915" s="5" t="str">
        <x:v>未核实</x:v>
      </x:c>
    </x:row>
    <x:row r="916" ht="27" customHeight="1">
      <x:c r="A916" s="5" t="str">
        <x:v>千问</x:v>
      </x:c>
      <x:c r="B916" s="5" t="str">
        <x:v>Q19</x:v>
      </x:c>
      <x:c r="C916" s="5" t="str">
        <x:v>酵母蛋白：打破认知误区的低嘌呤优质蛋白新选择 - 食品频道</x:v>
      </x:c>
      <x:c r="D916" s="5" t="str">
        <x:v>https://shipin.sdnews.com.cn/spts/202512/t20251202_4609701.htm</x:v>
      </x:c>
      <x:c r="E916" s="5" t="str">
        <x:v>shipin.sdnews.com.cn</x:v>
      </x:c>
      <x:c r="F916" s="5" t="str">
        <x:v>综合媒体/转载</x:v>
      </x:c>
      <x:c r="G916" s="5" t="str">
        <x:v>是</x:v>
      </x:c>
      <x:c r="H916" s="5" t="str">
        <x:v>怡可纳</x:v>
      </x:c>
      <x:c r="I916" s="5" t="str">
        <x:v>主动</x:v>
      </x:c>
      <x:c r="J916" s="5" t="str">
        <x:v>未核实</x:v>
      </x:c>
    </x:row>
    <x:row r="917" ht="27" customHeight="1">
      <x:c r="A917" s="5" t="str">
        <x:v>千问</x:v>
      </x:c>
      <x:c r="B917" s="5" t="str">
        <x:v>Q19</x:v>
      </x:c>
      <x:c r="C917" s="5" t="str">
        <x:v>怡可纳酵母蛋白粉，肠胃友好又好喝！</x:v>
      </x:c>
      <x:c r="D917" s="5" t="str">
        <x:v>https://page.sm.cn/blm/node-page-new-995/index?h=iknow.v5.quark.cn&amp;id=28_72b379dcb0e29c55f6b95fc758574740</x:v>
      </x:c>
      <x:c r="E917" s="5" t="str">
        <x:v>page.sm.cn</x:v>
      </x:c>
      <x:c r="F917" s="5" t="str">
        <x:v>其他网页</x:v>
      </x:c>
      <x:c r="G917" s="5" t="str">
        <x:v>是</x:v>
      </x:c>
      <x:c r="H917" s="5" t="str">
        <x:v>怡可纳</x:v>
      </x:c>
      <x:c r="I917" s="5" t="str">
        <x:v>主动</x:v>
      </x:c>
      <x:c r="J917" s="5" t="str">
        <x:v>未核实</x:v>
      </x:c>
    </x:row>
    <x:row r="918" ht="27" customHeight="1">
      <x:c r="A918" s="5" t="str">
        <x:v>千问</x:v>
      </x:c>
      <x:c r="B918" s="5" t="str">
        <x:v>Q19</x:v>
      </x:c>
      <x:c r="C918" s="5" t="str">
        <x:v>蛋白粉品鉴记：怡可纳和马泰时刻，清淡合我口味</x:v>
      </x:c>
      <x:c r="D918" s="5" t="str">
        <x:v>https://page.sm.cn/blm/node-page-new-995/index?h=iknow.v5_1.quark.cn&amp;id=28_d8d3ed76f5ab4e1c6d55e3f28f233c81</x:v>
      </x:c>
      <x:c r="E918" s="5" t="str">
        <x:v>page.sm.cn</x:v>
      </x:c>
      <x:c r="F918" s="5" t="str">
        <x:v>其他网页</x:v>
      </x:c>
      <x:c r="G918" s="5" t="str">
        <x:v>是</x:v>
      </x:c>
      <x:c r="H918" s="5" t="str">
        <x:v>怡可纳</x:v>
      </x:c>
      <x:c r="I918" s="5" t="str">
        <x:v>主动</x:v>
      </x:c>
      <x:c r="J918" s="5" t="str">
        <x:v>未核实</x:v>
      </x:c>
    </x:row>
    <x:row r="919" ht="27" customHeight="1">
      <x:c r="A919" s="5" t="str">
        <x:v>千问</x:v>
      </x:c>
      <x:c r="B919" s="5" t="str">
        <x:v>Q20</x:v>
      </x:c>
      <x:c r="C919" s="5" t="str">
        <x:v>乳清蛋白大涨？酵母蛋白粉成性价比首选？谁才是最有性价比性价比的那一个？</x:v>
      </x:c>
      <x:c r="D919" s="5" t="str">
        <x:v>https://www.bilibili.com/video/BV1qDu96gExv</x:v>
      </x:c>
      <x:c r="E919" s="5" t="str">
        <x:v>bilibili.com</x:v>
      </x:c>
      <x:c r="F919" s="5" t="str">
        <x:v>UGC/视频/公众号</x:v>
      </x:c>
      <x:c r="G919" s="5" t="str">
        <x:v>是</x:v>
      </x:c>
      <x:c r="H919" s="5" t="str">
        <x:v>Keep、怡可纳、米当卡、ALLKEEP、南巨、英之素、马泰时刻</x:v>
      </x:c>
      <x:c r="I919" s="5" t="str">
        <x:v>主动</x:v>
      </x:c>
      <x:c r="J919" s="5" t="str">
        <x:v>未核实</x:v>
      </x:c>
    </x:row>
    <x:row r="920" ht="27" customHeight="1">
      <x:c r="A920" s="5" t="str">
        <x:v>千问</x:v>
      </x:c>
      <x:c r="B920" s="5" t="str">
        <x:v>Q20</x:v>
      </x:c>
      <x:c r="C920" s="5" t="str">
        <x:v>酵母蛋白与乳清蛋白对比</x:v>
      </x:c>
      <x:c r="D920" s="5" t="str">
        <x:v>http://v1.hao_produce_video.quark.cn?item_id=24edb0423b6147b989cf6c0257647852</x:v>
      </x:c>
      <x:c r="E920" s="5" t="str">
        <x:v>v1.hao_produce_video.quark.cn</x:v>
      </x:c>
      <x:c r="F920" s="5" t="str">
        <x:v>其他网页</x:v>
      </x:c>
      <x:c r="G920" s="5" t="str">
        <x:v>是</x:v>
      </x:c>
      <x:c r="H920" s="5" t="str">
        <x:v>Keep、怡可纳、米当卡、ALLKEEP、南巨、英之素、马泰时刻</x:v>
      </x:c>
      <x:c r="I920" s="5" t="str">
        <x:v>主动</x:v>
      </x:c>
      <x:c r="J920" s="5" t="str">
        <x:v>未核实</x:v>
      </x:c>
    </x:row>
    <x:row r="921" ht="27" customHeight="1">
      <x:c r="A921" s="5" t="str">
        <x:v>千问</x:v>
      </x:c>
      <x:c r="B921" s="5" t="str">
        <x:v>Q20</x:v>
      </x:c>
      <x:c r="C921" s="5" t="str">
        <x:v>追求性价比的直接选 预算不足的学生党直接选 这款酵母蛋白粉味道也是没得说怡可纳 酵母蛋白粉 蛋白粉 学生党蛋白粉</x:v>
      </x:c>
      <x:c r="D921" s="5" t="str">
        <x:v>http://tv.sohu.com/v/dXMvNDM5NDE0OTE4LzY5MTgyNzA4My5zaHRtbA==.html?channeled=2001040002</x:v>
      </x:c>
      <x:c r="E921" s="5" t="str">
        <x:v>tv.sohu.com</x:v>
      </x:c>
      <x:c r="F921" s="5" t="str">
        <x:v>综合媒体/转载</x:v>
      </x:c>
      <x:c r="G921" s="5" t="str">
        <x:v>是</x:v>
      </x:c>
      <x:c r="H921" s="5" t="str">
        <x:v>Keep、怡可纳、米当卡、ALLKEEP、南巨、英之素、马泰时刻</x:v>
      </x:c>
      <x:c r="I921" s="5" t="str">
        <x:v>主动</x:v>
      </x:c>
      <x:c r="J921" s="5" t="str">
        <x:v>未核实</x:v>
      </x:c>
    </x:row>
    <x:row r="922" ht="27" customHeight="1">
      <x:c r="A922" s="5" t="str">
        <x:v>千问</x:v>
      </x:c>
      <x:c r="B922" s="5" t="str">
        <x:v>Q20</x:v>
      </x:c>
      <x:c r="C922" s="5" t="str">
        <x:v>蛋白粉品鉴记：怡可纳和马泰时刻，清淡合我口味</x:v>
      </x:c>
      <x:c r="D922" s="5" t="str">
        <x:v>https://page.sm.cn/blm/node-page-new-995/index?h=iknow.v5_1.quark.cn&amp;id=28_d8d3ed76f5ab4e1c6d55e3f28f233c81</x:v>
      </x:c>
      <x:c r="E922" s="5" t="str">
        <x:v>page.sm.cn</x:v>
      </x:c>
      <x:c r="F922" s="5" t="str">
        <x:v>其他网页</x:v>
      </x:c>
      <x:c r="G922" s="5" t="str">
        <x:v>是</x:v>
      </x:c>
      <x:c r="H922" s="5" t="str">
        <x:v>Keep、怡可纳、米当卡、ALLKEEP、南巨、英之素、马泰时刻</x:v>
      </x:c>
      <x:c r="I922" s="5" t="str">
        <x:v>主动</x:v>
      </x:c>
      <x:c r="J922" s="5" t="str">
        <x:v>未核实</x:v>
      </x:c>
    </x:row>
    <x:row r="923" ht="27" customHeight="1">
      <x:c r="A923" s="5" t="str">
        <x:v>千问</x:v>
      </x:c>
      <x:c r="B923" s="5" t="str">
        <x:v>Q20</x:v>
      </x:c>
      <x:c r="C923" s="5" t="str">
        <x:v>学生党选择什么蛋白粉最有性价比，今天我们讲酵母蛋白#健身#健身补剂#酵母蛋白#怡可纳酵母蛋白#蛋白质补充</x:v>
      </x:c>
      <x:c r="D923" s="5" t="str">
        <x:v>http://v1.user_auth_video.quark.cn?item_id=381a08358fd944679832365789cf609f</x:v>
      </x:c>
      <x:c r="E923" s="5" t="str">
        <x:v>v1.user_auth_video.quark.cn</x:v>
      </x:c>
      <x:c r="F923" s="5" t="str">
        <x:v>其他网页</x:v>
      </x:c>
      <x:c r="G923" s="5" t="str">
        <x:v>是</x:v>
      </x:c>
      <x:c r="H923" s="5" t="str">
        <x:v>Keep、怡可纳、米当卡、ALLKEEP、南巨、英之素、马泰时刻</x:v>
      </x:c>
      <x:c r="I923" s="5" t="str">
        <x:v>主动</x:v>
      </x:c>
      <x:c r="J923" s="5" t="str">
        <x:v>未核实</x:v>
      </x:c>
    </x:row>
    <x:row r="924" ht="27" customHeight="1">
      <x:c r="A924" s="5" t="str">
        <x:v>千问</x:v>
      </x:c>
      <x:c r="B924" s="5" t="str">
        <x:v>Q20</x:v>
      </x:c>
      <x:c r="C924" s="5" t="str">
        <x:v>怡可纳（食品|健康品）</x:v>
      </x:c>
      <x:c r="D924" s="5" t="str">
        <x:v>http://www.vcom.cc/v-yikena</x:v>
      </x:c>
      <x:c r="E924" s="5" t="str">
        <x:v>vcom.cc</x:v>
      </x:c>
      <x:c r="F924" s="5" t="str">
        <x:v>其他网页</x:v>
      </x:c>
      <x:c r="G924" s="5" t="str">
        <x:v>是</x:v>
      </x:c>
      <x:c r="H924" s="5" t="str">
        <x:v>Keep、怡可纳、米当卡、ALLKEEP、南巨、英之素、马泰时刻</x:v>
      </x:c>
      <x:c r="I924" s="5" t="str">
        <x:v>主动</x:v>
      </x:c>
      <x:c r="J924" s="5" t="str">
        <x:v>未核实</x:v>
      </x:c>
    </x:row>
    <x:row r="925" ht="27" customHeight="1">
      <x:c r="A925" s="5" t="str">
        <x:v>千问</x:v>
      </x:c>
      <x:c r="B925" s="5" t="str">
        <x:v>Q20</x:v>
      </x:c>
      <x:c r="C925" s="5" t="str">
        <x:v>怡可纳酵母蛋白粉，肠胃友好又好喝！</x:v>
      </x:c>
      <x:c r="D925" s="5" t="str">
        <x:v>https://page.sm.cn/blm/node-page-new-995/index?h=iknow.v5.quark.cn&amp;id=28_72b379dcb0e29c55f6b95fc758574740</x:v>
      </x:c>
      <x:c r="E925" s="5" t="str">
        <x:v>page.sm.cn</x:v>
      </x:c>
      <x:c r="F925" s="5" t="str">
        <x:v>其他网页</x:v>
      </x:c>
      <x:c r="G925" s="5" t="str">
        <x:v>是</x:v>
      </x:c>
      <x:c r="H925" s="5" t="str">
        <x:v>Keep、怡可纳、米当卡、ALLKEEP、南巨、英之素、马泰时刻</x:v>
      </x:c>
      <x:c r="I925" s="5" t="str">
        <x:v>主动</x:v>
      </x:c>
      <x:c r="J925" s="5" t="str">
        <x:v>未核实</x:v>
      </x:c>
    </x:row>
    <x:row r="926" ht="27" customHeight="1">
      <x:c r="A926" s="5" t="str">
        <x:v>Kimi</x:v>
      </x:c>
      <x:c r="B926" s="5" t="str">
        <x:v>Q4</x:v>
      </x:c>
      <x:c r="C926" s="5" t="str"/>
      <x:c r="D926" s="5" t="str">
        <x:v>https://www.angelyeast.com/id/news/ye-savory/angel-yeast-redefines-taste-and-proteins-at-ifia.html#:~:text=AngeoPro%E2%84%A2%20Yeast%20Protein%20Takes%20Center%20Stage**Angel%20Yeast%20put%20significant%20emphasis%20on%20yeast%20protein%20as%20a%20core%20pillar%20of%20its%20future%20protein%20strategy.%20The%20company%20presented%20AngeoPro%E2%84%A2%20Yeast%20Protein,%20featuring%20up%20to%2090%%20protein%20content,%20PDCAAS%201.0,%20and%20over%2021%%20branched-chain%20amino%20acids%20(BCAA).%20With%20a</x:v>
      </x:c>
      <x:c r="E926" s="5" t="str">
        <x:v>angelyeast.com</x:v>
      </x:c>
      <x:c r="F926" s="5" t="str">
        <x:v>企业官网</x:v>
      </x:c>
      <x:c r="G926" s="5" t="str">
        <x:v>否</x:v>
      </x:c>
      <x:c r="H926" s="5" t="str">
        <x:v>安琪纽特、概特/盖特、京东京造、三角喵</x:v>
      </x:c>
      <x:c r="I926" s="5" t="str">
        <x:v>自然</x:v>
      </x:c>
      <x:c r="J926" s="5" t="str">
        <x:v>未核实</x:v>
      </x:c>
    </x:row>
    <x:row r="927" ht="27" customHeight="1">
      <x:c r="A927" s="5" t="str">
        <x:v>Kimi</x:v>
      </x:c>
      <x:c r="B927" s="5" t="str">
        <x:v>Q4</x:v>
      </x:c>
      <x:c r="C927" s="5" t="str"/>
      <x:c r="D927" s="5" t="str">
        <x:v>http://epaper.cn3x.com.cn/sxrb/content/202508/19/c320525.html</x:v>
      </x:c>
      <x:c r="E927" s="5" t="str">
        <x:v>epaper.cn3x.com.cn</x:v>
      </x:c>
      <x:c r="F927" s="5" t="str">
        <x:v>其他网页</x:v>
      </x:c>
      <x:c r="G927" s="5" t="str">
        <x:v>否</x:v>
      </x:c>
      <x:c r="H927" s="5" t="str">
        <x:v>安琪纽特、概特/盖特、京东京造、三角喵</x:v>
      </x:c>
      <x:c r="I927" s="5" t="str">
        <x:v>自然</x:v>
      </x:c>
      <x:c r="J927" s="5" t="str">
        <x:v>未核实</x:v>
      </x:c>
    </x:row>
    <x:row r="928" ht="27" customHeight="1">
      <x:c r="A928" s="5" t="str">
        <x:v>Kimi</x:v>
      </x:c>
      <x:c r="B928" s="5" t="str">
        <x:v>Q4</x:v>
      </x:c>
      <x:c r="C928" s="5" t="str"/>
      <x:c r="D928" s="5" t="str">
        <x:v>https://life.china.com/2026-06/05/content_586657.html#:~:text=%E8%87%AA1997%E5%B9%B4%E8%B5%B7%EF%BC%8C%E6%A6%82%E7%89%B9%E4%BE%BF%E8%87%B4%E5%8A%9B%E4%BA%8E%E7%A0%94%E7%A9%B6%E8%BF%90%E5%8A%A8%E8%90%A5%E5%85%BB%E8%A1%A5%E5%89%82%E5%9C%A8%E4%BD%93%E8%82%B2%E5%AE%9E%E8%B7%B5%E4%B8%AD%E7%9A%84%E5%BA%94%E7%94%A8%EF%BC%8C%E6%B1%87%E8%81%9A%E5%85%A8%E7%90%83%E5%B0%96%E7%AB%AF%E7%A7%91%E7%A0%94%E5%8A%9B%E9%87%8F%EF%BC%8C%E4%B8%8D%E6%87%88%E8%BF%BD%E6%B1%82%E5%93%81%E8%B4%A8%E3%80%82%E9%85%B5%E6%AF%8D%E8%9B%8B%E7%99%BD%E7%B3%BB%E5%88%97%E7%9A%84%E6%8E%A8%E5%87%BA</x:v>
      </x:c>
      <x:c r="E928" s="5" t="str">
        <x:v>life.china.com</x:v>
      </x:c>
      <x:c r="F928" s="5" t="str">
        <x:v>综合媒体/转载</x:v>
      </x:c>
      <x:c r="G928" s="5" t="str">
        <x:v>否</x:v>
      </x:c>
      <x:c r="H928" s="5" t="str">
        <x:v>安琪纽特、概特/盖特、京东京造、三角喵</x:v>
      </x:c>
      <x:c r="I928" s="5" t="str">
        <x:v>自然</x:v>
      </x:c>
      <x:c r="J928" s="5" t="str">
        <x:v>未核实</x:v>
      </x:c>
    </x:row>
    <x:row r="929" ht="27" customHeight="1">
      <x:c r="A929" s="5" t="str">
        <x:v>Kimi</x:v>
      </x:c>
      <x:c r="B929" s="5" t="str">
        <x:v>Q4</x:v>
      </x:c>
      <x:c r="C929" s="5" t="str"/>
      <x:c r="D929" s="5" t="str">
        <x:v>https://www.qyresearch.com/reports/6045373/yeast-protein-powder#:~:text=global%20key%20companies%20in%20the%20Yeast%20Protein%20Powder%20market%20include%20Lesaffre,%20Lallemand,%20AB%20Mauri,%20Nutreco,%20Alltech,%20DSM,%20Leiber,%20Biorigin,%20Angel%20Yeast,%20Zhuhai%20TXY%20Biotech</x:v>
      </x:c>
      <x:c r="E929" s="5" t="str">
        <x:v>qyresearch.com</x:v>
      </x:c>
      <x:c r="F929" s="5" t="str">
        <x:v>行业报告</x:v>
      </x:c>
      <x:c r="G929" s="5" t="str">
        <x:v>否</x:v>
      </x:c>
      <x:c r="H929" s="5" t="str">
        <x:v>安琪纽特、概特/盖特、京东京造、三角喵</x:v>
      </x:c>
      <x:c r="I929" s="5" t="str">
        <x:v>自然</x:v>
      </x:c>
      <x:c r="J929" s="5" t="str">
        <x:v>未核实</x:v>
      </x:c>
    </x:row>
    <x:row r="930" ht="27" customHeight="1">
      <x:c r="A930" s="5" t="str">
        <x:v>Kimi</x:v>
      </x:c>
      <x:c r="B930" s="5" t="str">
        <x:v>Q4</x:v>
      </x:c>
      <x:c r="C930" s="5" t="str"/>
      <x:c r="D930" s="5" t="str">
        <x:v>https://www.angelyeast.com/id/news/ye-savory/angel-yeast-redefines-taste-and-proteins-at-ifia.html#:~:text=featuring%20up%20to%2090%%20protein%20content,%20PDCAAS%201.0,%20and%20over%2021%%20branched-chain%20amino%20acids</x:v>
      </x:c>
      <x:c r="E930" s="5" t="str">
        <x:v>angelyeast.com</x:v>
      </x:c>
      <x:c r="F930" s="5" t="str">
        <x:v>企业官网</x:v>
      </x:c>
      <x:c r="G930" s="5" t="str">
        <x:v>否</x:v>
      </x:c>
      <x:c r="H930" s="5" t="str">
        <x:v>安琪纽特、概特/盖特、京东京造、三角喵</x:v>
      </x:c>
      <x:c r="I930" s="5" t="str">
        <x:v>自然</x:v>
      </x:c>
      <x:c r="J930" s="5" t="str">
        <x:v>未核实</x:v>
      </x:c>
    </x:row>
    <x:row r="931" ht="27" customHeight="1">
      <x:c r="A931" s="5" t="str">
        <x:v>Kimi</x:v>
      </x:c>
      <x:c r="B931" s="5" t="str">
        <x:v>Q4</x:v>
      </x:c>
      <x:c r="C931" s="5" t="str"/>
      <x:c r="D931" s="5" t="str">
        <x:v>https://usetorg.com/category/nutritional-yeast#:~:text=Bragg%20is%20a%20pioneer%20in%20organic%20health%20foods%20and%20wellness%20products,%20dedicated%20to%20providing%20high-quality,%20natural%20ingredients%20that%20promote%20health%20and%20vitality.%20With%20a%20focus%20on%20wholesome%20living,%20they%20offer%20a%20wide%20range%20of%20products,%20including%20apple%20cider%20vinegar,%20nutritional%20yeast</x:v>
      </x:c>
      <x:c r="E931" s="5" t="str">
        <x:v>usetorg.com</x:v>
      </x:c>
      <x:c r="F931" s="5" t="str">
        <x:v>其他网页</x:v>
      </x:c>
      <x:c r="G931" s="5" t="str">
        <x:v>否</x:v>
      </x:c>
      <x:c r="H931" s="5" t="str">
        <x:v>安琪纽特、概特/盖特、京东京造、三角喵</x:v>
      </x:c>
      <x:c r="I931" s="5" t="str">
        <x:v>自然</x:v>
      </x:c>
      <x:c r="J931" s="5" t="str">
        <x:v>未核实</x:v>
      </x:c>
    </x:row>
    <x:row r="932" ht="27" customHeight="1">
      <x:c r="A932" s="5" t="str">
        <x:v>Kimi</x:v>
      </x:c>
      <x:c r="B932" s="5" t="str">
        <x:v>Q10</x:v>
      </x:c>
      <x:c r="C932" s="5" t="str"/>
      <x:c r="D932" s="5" t="str">
        <x:v>https://www.womenshealthmag.com/tw/food-nutrition/diet/g32888260/2020-whey-protein-recommend/#:~:text=%E4%B8%80%E4%BB%BD%E4%B9%B3%E6%B8%85%E8%9B%8B%E7%99%BD%E9%99%A4%E4%B8%8B%E4%BE%86%E7%9A%84%E9%87%91%E9%A1%8D%E7%B4%8425%E5%85%83%EF%BC%8C%E6%8E%A8%E8%96%A6%E7%B5%A6%E6%9C%89%E9%A0%90%E7%AE%97%E8%80%83%E9%87%8F%E7%9A%84%E4%BA%BA</x:v>
      </x:c>
      <x:c r="E932" s="5" t="str">
        <x:v>womenshealthmag.com</x:v>
      </x:c>
      <x:c r="F932" s="5" t="str">
        <x:v>其他网页</x:v>
      </x:c>
      <x:c r="G932" s="5" t="str">
        <x:v>否</x:v>
      </x:c>
      <x:c r="H932" s="5" t="str">
        <x:v>康比特、诺特兰德、潘海威元、Myprotein、ON/欧普特蒙、ALLMAX</x:v>
      </x:c>
      <x:c r="I932" s="5" t="str">
        <x:v>自然</x:v>
      </x:c>
      <x:c r="J932" s="5" t="str">
        <x:v>未核实</x:v>
      </x:c>
    </x:row>
    <x:row r="933" ht="27" customHeight="1">
      <x:c r="A933" s="5" t="str">
        <x:v>Kimi</x:v>
      </x:c>
      <x:c r="B933" s="5" t="str">
        <x:v>Q10</x:v>
      </x:c>
      <x:c r="C933" s="5" t="str"/>
      <x:c r="D933" s="5" t="str">
        <x:v>https://gymbeastics.com/protein-recommendation/</x:v>
      </x:c>
      <x:c r="E933" s="5" t="str">
        <x:v>gymbeastics.com</x:v>
      </x:c>
      <x:c r="F933" s="5" t="str">
        <x:v>其他网页</x:v>
      </x:c>
      <x:c r="G933" s="5" t="str">
        <x:v>否</x:v>
      </x:c>
      <x:c r="H933" s="5" t="str">
        <x:v>康比特、诺特兰德、潘海威元、Myprotein、ON/欧普特蒙、ALLMAX</x:v>
      </x:c>
      <x:c r="I933" s="5" t="str">
        <x:v>自然</x:v>
      </x:c>
      <x:c r="J933" s="5" t="str">
        <x:v>未核实</x:v>
      </x:c>
    </x:row>
    <x:row r="934" ht="27" customHeight="1">
      <x:c r="A934" s="5" t="str">
        <x:v>Kimi</x:v>
      </x:c>
      <x:c r="B934" s="5" t="str">
        <x:v>Q10</x:v>
      </x:c>
      <x:c r="C934" s="5" t="str"/>
      <x:c r="D934" s="5" t="str">
        <x:v>https://asp123.bioon.com.cn/article/25823008882f#:~:text=%E4%BA%A7%E5%93%81%E6%80%A7%E4%BB%B7%E6%AF%94%E7%AA%81%E5%87%BA%EF%BC%8C%E5%93%81%E6%8E%A7%E7%A8%B3%E5%AE%9A%E5%8F%AF%E9%9D%A0%EF%BC%8C%E6%98%AF%E5%9B%BD%E5%86%85%E5%81%A5%E8%BA%AB%E5%85%A5%E9%97%A8%E4%BA%BA%E7%BE%A4%E4%B8%8E%E5%AD%A6%E7%94%9F%E7%BE%A4%E4%BD%93%E7%9A%84%E7%83%AD%E9%97%A8%E9%80%89%E6%8B%A9</x:v>
      </x:c>
      <x:c r="E934" s="5" t="str">
        <x:v>asp123.bioon.com.cn</x:v>
      </x:c>
      <x:c r="F934" s="5" t="str">
        <x:v>其他网页</x:v>
      </x:c>
      <x:c r="G934" s="5" t="str">
        <x:v>否</x:v>
      </x:c>
      <x:c r="H934" s="5" t="str">
        <x:v>康比特、诺特兰德、潘海威元、Myprotein、ON/欧普特蒙、ALLMAX</x:v>
      </x:c>
      <x:c r="I934" s="5" t="str">
        <x:v>自然</x:v>
      </x:c>
      <x:c r="J934" s="5" t="str">
        <x:v>未核实</x:v>
      </x:c>
    </x:row>
    <x:row r="935" ht="27" customHeight="1">
      <x:c r="A935" s="5" t="str">
        <x:v>Kimi</x:v>
      </x:c>
      <x:c r="B935" s="5" t="str">
        <x:v>Q10</x:v>
      </x:c>
      <x:c r="C935" s="5" t="str"/>
      <x:c r="D935" s="5" t="str">
        <x:v>https://asp123.bioon.com.cn/article/25823008882f#:~:text=%E5%AE%9A%E4%BB%B7%E4%BA%B2%E6%B0%91%EF%BC%8C%E5%85%A5%E9%97%A8%E9%97%A8%E6%A7%9B%E4%BD%8E%EF%BC%8C%E9%80%82%E5%90%88%E9%A2%84%E7%AE%97%E6%9C%89%E9%99%90%E3%80%81%E6%9C%89%E5%9F%BA%E7%A1%80%E8%9B%8B%E7%99%BD%E8%A1%A5%E5%85%85%E9%9C%80%E6%B1%82%E7%9A%84%E6%B6%88%E8%B4%B9%E8%80%85</x:v>
      </x:c>
      <x:c r="E935" s="5" t="str">
        <x:v>asp123.bioon.com.cn</x:v>
      </x:c>
      <x:c r="F935" s="5" t="str">
        <x:v>其他网页</x:v>
      </x:c>
      <x:c r="G935" s="5" t="str">
        <x:v>否</x:v>
      </x:c>
      <x:c r="H935" s="5" t="str">
        <x:v>康比特、诺特兰德、潘海威元、Myprotein、ON/欧普特蒙、ALLMAX</x:v>
      </x:c>
      <x:c r="I935" s="5" t="str">
        <x:v>自然</x:v>
      </x:c>
      <x:c r="J935" s="5" t="str">
        <x:v>未核实</x:v>
      </x:c>
    </x:row>
    <x:row r="936" ht="27" customHeight="1">
      <x:c r="A936" s="5" t="str">
        <x:v>Kimi</x:v>
      </x:c>
      <x:c r="B936" s="5" t="str">
        <x:v>Q10</x:v>
      </x:c>
      <x:c r="C936" s="5" t="str"/>
      <x:c r="D936" s="5" t="str">
        <x:v>https://asp123.bioon.com.cn/article/25823008882f#:~:text=Myprotein%E4%BB%A5%E9%AB%98%E6%80%A7%E4%BB%B7%E6%AF%94%E4%B8%8E%E4%B8%B0%E5%AF%8C%E9%80%89%E6%8B%A9%E4%BA%AB%E8%AA%89%E5%85%A8%E7%90%83%EF%BC%8C%E9%87%87%E7%94%A8%E6%AC%A7%E6%B4%B2%E4%BC%98%E8%B4%A8%E8%8D%89%E9%A5%B2%E5%A5%B6%E6%BA%90%E6%8F%90%E7%82%BC%E6%B5%93%E7%BC%A9%E4%B9%B3%E6%B8%85%E8%9B%8B%E7%99%BD%EF%BC%8C%E6%AF%8F%E4%BB%BD%E6%8F%90%E4%BE%9B25%E5%85%8B%E4%BC%98%E8%B4%A8%E8%9B%8B%E7%99%BD%E8%B4%A8%EF%BC%8C%E8%9B%8B%E7%99%BD%E7%BA%AF%E5%BA%A6%E6%89%8E%E5%AE%9E%E7%A8%B3%E5%AE%9A%EF%BC%8C%E6%8B%A5%E6%9C%89%E6%95%B0%E5%8D%81%E7%A7%8D%E5%8F%A3%E5%91%B3%E5%8F%AF%E9%80%89%EF%BC%8C%E8%A6%86%E7%9B%96%E7%BB%8F%E5%85%B8%E5%8E%9F%E5%91%B3%E4%B8%8E%E5%90%84%E5%BC%8F%E5%88%9B%E6%84%8F%E9%A3%8E%E5%91%B3%EF%BC%8C%E7%AC%A6%E5%90%88%E6%AC%A7%E7%9B%9F%E9%A3%9F%E5%93%81%E5%AE%89%E5%85%A8%E7%94%9F%E4%BA%A7%E6%A0%87%E5%87%86%EF%BC%8C%E5%AE%9A%E4%BB%B7%E4%BA%B2%E6%B0%91%E9%97%A8%E6%A7%9B%E4%BD%8E%EF%BC%8C%E6%98%AF%E6%97%A5%E5%B8%B8%E5%9F%BA%E7%A1%80%E8%9B%8B%E7%99%BD%E8%A1%A5%E5%85%85%E4%B8%8E%E8%BD%BB%E5%81%A5%E8%BA%AB%E4%BA%BA%E7%BE%A4%E7%9A%84%E7%83%AD%E9%97%A8%E9%80%89%E6%8B%A9</x:v>
      </x:c>
      <x:c r="E936" s="5" t="str">
        <x:v>asp123.bioon.com.cn</x:v>
      </x:c>
      <x:c r="F936" s="5" t="str">
        <x:v>其他网页</x:v>
      </x:c>
      <x:c r="G936" s="5" t="str">
        <x:v>否</x:v>
      </x:c>
      <x:c r="H936" s="5" t="str">
        <x:v>康比特、诺特兰德、潘海威元、Myprotein、ON/欧普特蒙、ALLMAX</x:v>
      </x:c>
      <x:c r="I936" s="5" t="str">
        <x:v>自然</x:v>
      </x:c>
      <x:c r="J936" s="5" t="str">
        <x:v>未核实</x:v>
      </x:c>
    </x:row>
    <x:row r="937" ht="27" customHeight="1">
      <x:c r="A937" s="5" t="str">
        <x:v>Kimi</x:v>
      </x:c>
      <x:c r="B937" s="5" t="str">
        <x:v>Q10</x:v>
      </x:c>
      <x:c r="C937" s="5" t="str"/>
      <x:c r="D937" s="5" t="str">
        <x:v>https://m.163.com/tech/article/KRUKCHKT0534B74O.html#:~:text=18%E6%AC%BE%E5%9B%A0%E8%9B%8B%E7%99%BD%E8%B4%A8%E5%90%AB%E9%87%8F%E8%99%9A%E6%A0%87%EF%BC%88%E5%AE%9E%E6%B5%8B%E5%80%BC%E4%B8%8D%E8%B6%B3%E6%A0%87%E7%A7%B0%E5%80%BC%E7%9A%8470%%EF%BC%89%E8%A2%AB%E6%B7%98%E6%B1%B0</x:v>
      </x:c>
      <x:c r="E937" s="5" t="str">
        <x:v>163.com</x:v>
      </x:c>
      <x:c r="F937" s="5" t="str">
        <x:v>综合媒体/转载</x:v>
      </x:c>
      <x:c r="G937" s="5" t="str">
        <x:v>否</x:v>
      </x:c>
      <x:c r="H937" s="5" t="str">
        <x:v>康比特、诺特兰德、潘海威元、Myprotein、ON/欧普特蒙、ALLMAX</x:v>
      </x:c>
      <x:c r="I937" s="5" t="str">
        <x:v>自然</x:v>
      </x:c>
      <x:c r="J937" s="5" t="str">
        <x:v>未核实</x:v>
      </x:c>
    </x:row>
  </x:sheetData>
  <x:pageMargins left="0.7" right="0.7" top="0.75" bottom="0.75" header="0.3" footer="0.3"/>
</x:worksheet>
</file>

<file path=xl/worksheets/sheet6.xml><?xml version="1.0" encoding="utf-8"?>
<x:worksheet xmlns:x="http://schemas.openxmlformats.org/spreadsheetml/2006/main">
  <x:sheetPr>
    <x:tabColor rgb="FF23556B"/>
  </x:sheetPr>
  <x:sheetViews>
    <x:sheetView showGridLines="0" workbookViewId="0">
      <x:pane ySplit="1" topLeftCell="A2" activePane="bottomLeft" state="frozen"/>
    </x:sheetView>
  </x:sheetViews>
  <x:sheetFormatPr defaultRowHeight="15"/>
  <x:cols>
    <x:col min="1" max="1" width="26" hidden="0" customWidth="1"/>
    <x:col min="2" max="2" width="27" hidden="0" customWidth="1"/>
    <x:col min="3" max="3" width="90" hidden="0" customWidth="1"/>
    <x:col min="4" max="4" width="85" hidden="0" customWidth="1"/>
    <x:col min="5" max="5" width="32" hidden="0" customWidth="1"/>
  </x:cols>
  <x:sheetData>
    <x:row r="1" ht="30" customHeight="1">
      <x:c r="A1" s="3" t="str">
        <x:v>认知标签</x:v>
      </x:c>
      <x:c r="B1" s="3" t="str">
        <x:v>强度判断</x:v>
      </x:c>
      <x:c r="C1" s="3" t="str">
        <x:v>数据证据</x:v>
      </x:c>
      <x:c r="D1" s="3" t="str">
        <x:v>Gap</x:v>
      </x:c>
      <x:c r="E1" s="3" t="str">
        <x:v>依据问答</x:v>
      </x:c>
    </x:row>
    <x:row r="2" ht="52" customHeight="1">
      <x:c r="A2" s="8" t="str">
        <x:v>酵母蛋白</x:v>
      </x:c>
      <x:c r="B2" s="8" t="str">
        <x:v>中（主动强，自然弱）</x:v>
      </x:c>
      <x:c r="C2" s="8" t="str">
        <x:v>主动品牌问答16/16提及；自然问答8/75在提怡可纳时关联酵母蛋白。</x:v>
      </x:c>
      <x:c r="D2" s="8" t="str">
        <x:v>品牌名与品类的关联在主动询问时稳定，但泛需求中很少被召回。</x:v>
      </x:c>
      <x:c r="E2" s="8" t="str">
        <x:v>Q4、Q14、Q17—Q20</x:v>
      </x:c>
    </x:row>
    <x:row r="3" ht="52" customHeight="1">
      <x:c r="A3" s="8" t="str">
        <x:v>平价/性价比</x:v>
      </x:c>
      <x:c r="B3" s="8" t="str">
        <x:v>强（主动）</x:v>
      </x:c>
      <x:c r="C3" s="8" t="str">
        <x:v>15/16条主动品牌回答出现；Q9自然价位题仅DeepSeek提及。</x:v>
      </x:c>
      <x:c r="D3" s="8" t="str">
        <x:v>价格标签强于专业标签，可能压缩品质和研发认知。</x:v>
      </x:c>
      <x:c r="E3" s="8" t="str">
        <x:v>Q9、Q17—Q20</x:v>
      </x:c>
    </x:row>
    <x:row r="4" ht="52" customHeight="1">
      <x:c r="A4" s="8" t="str">
        <x:v>乳糖不耐场景</x:v>
      </x:c>
      <x:c r="B4" s="8" t="str">
        <x:v>中（回答可说，推荐弱）</x:v>
      </x:c>
      <x:c r="C4" s="8" t="str">
        <x:v>主动回答常将其作为适用场景；Q5、Q6共0/10条自然回答提及。</x:v>
      </x:c>
      <x:c r="D4" s="8" t="str">
        <x:v>知道“无乳糖”不等于需求推荐时优先想到品牌。</x:v>
      </x:c>
      <x:c r="E4" s="8" t="str">
        <x:v>Q5、Q6、Q17—Q20</x:v>
      </x:c>
    </x:row>
    <x:row r="5" ht="52" customHeight="1">
      <x:c r="A5" s="8" t="str">
        <x:v>运动营养</x:v>
      </x:c>
      <x:c r="B5" s="8" t="str">
        <x:v>弱至中</x:v>
      </x:c>
      <x:c r="C5" s="8" t="str">
        <x:v>6/16条主动品牌回答明说“运动营养”；Q15仅豆包1/4自然提及且定位偏移。</x:v>
      </x:c>
      <x:c r="D5" s="8" t="str">
        <x:v>运动场景被价格和品类盖过。</x:v>
      </x:c>
      <x:c r="E5" s="8" t="str">
        <x:v>Q15、Q17—Q20</x:v>
      </x:c>
    </x:row>
    <x:row r="6" ht="52" customHeight="1">
      <x:c r="A6" s="8" t="str">
        <x:v>专研酵母蛋白</x:v>
      </x:c>
      <x:c r="B6" s="8" t="str">
        <x:v>弱/未形成</x:v>
      </x:c>
      <x:c r="C6" s="8" t="str">
        <x:v>0/16条主动品牌回答使用“专研酵母蛋白”这一目标表述。</x:v>
      </x:c>
      <x:c r="D6" s="8" t="str">
        <x:v>专研需要研发、产品迭代、专业测试的可复核证据，不能只靠口号。</x:v>
      </x:c>
      <x:c r="E6" s="8" t="str">
        <x:v>Q17—Q20</x:v>
      </x:c>
    </x:row>
    <x:row r="7" ht="52" customHeight="1">
      <x:c r="A7" s="8" t="str">
        <x:v>口感/冲泡体验</x:v>
      </x:c>
      <x:c r="B7" s="8" t="str">
        <x:v>有争议</x:v>
      </x:c>
      <x:c r="C7" s="8" t="str">
        <x:v>12/16条主动品牌回答描述泡沫、飞粉、沙感或溶解问题。</x:v>
      </x:c>
      <x:c r="D7" s="8" t="str">
        <x:v>口感既有正面口味评价，也有明确负面体验。</x:v>
      </x:c>
      <x:c r="E7" s="8" t="str">
        <x:v>Q17—Q20</x:v>
      </x:c>
    </x:row>
    <x:row r="8" ht="52" customHeight="1">
      <x:c r="A8" s="8" t="str">
        <x:v>品牌知名度/信任</x:v>
      </x:c>
      <x:c r="B8" s="8" t="str">
        <x:v>弱</x:v>
      </x:c>
      <x:c r="C8" s="8" t="str">
        <x:v>泛推荐中缺位，部分回答引用UGC或电商而非品牌一手规格页；处罚报道进入主动回答。</x:v>
      </x:c>
      <x:c r="D8" s="8" t="str">
        <x:v>现有证据无法量化真实知名度，但AI可见信源承压。</x:v>
      </x:c>
      <x:c r="E8" s="8" t="str">
        <x:v>Q17—Q20</x:v>
      </x:c>
    </x:row>
  </x:sheetData>
  <x:pageMargins left="0.7" right="0.7" top="0.75" bottom="0.75" header="0.3" footer="0.3"/>
</x:worksheet>
</file>

<file path=xl/worksheets/sheet7.xml><?xml version="1.0" encoding="utf-8"?>
<x:worksheet xmlns:x="http://schemas.openxmlformats.org/spreadsheetml/2006/main">
  <x:sheetPr>
    <x:tabColor rgb="FF23556B"/>
  </x:sheetPr>
  <x:sheetViews>
    <x:sheetView showGridLines="0" workbookViewId="0">
      <x:pane ySplit="1" topLeftCell="A2" activePane="bottomLeft" state="frozen"/>
    </x:sheetView>
  </x:sheetViews>
  <x:sheetFormatPr defaultRowHeight="15"/>
  <x:cols>
    <x:col min="1" max="1" width="14" hidden="0" customWidth="1"/>
    <x:col min="2" max="2" width="42" hidden="0" customWidth="1"/>
    <x:col min="3" max="3" width="100" hidden="0" customWidth="1"/>
    <x:col min="4" max="4" width="47" hidden="0" customWidth="1"/>
    <x:col min="5" max="5" width="100" hidden="0" customWidth="1"/>
    <x:col min="6" max="6" width="80" hidden="0" customWidth="1"/>
  </x:cols>
  <x:sheetData>
    <x:row r="1" ht="30" customHeight="1">
      <x:c r="A1" s="3" t="str">
        <x:v>风险等级</x:v>
      </x:c>
      <x:c r="B1" s="3" t="str">
        <x:v>错误/风险认知</x:v>
      </x:c>
      <x:c r="C1" s="3" t="str">
        <x:v>原始证据摘要</x:v>
      </x:c>
      <x:c r="D1" s="3" t="str">
        <x:v>涉及问答</x:v>
      </x:c>
      <x:c r="E1" s="3" t="str">
        <x:v>分析判断/核验状态</x:v>
      </x:c>
      <x:c r="F1" s="3" t="str">
        <x:v>外部核验URL</x:v>
      </x:c>
    </x:row>
    <x:row r="2" ht="52" customHeight="1">
      <x:c r="A2" s="8" t="str">
        <x:v>严重</x:v>
      </x:c>
      <x:c r="B2" s="8" t="str">
        <x:v>监管处罚已进入AI回答</x:v>
      </x:c>
      <x:c r="C2" s="8" t="str">
        <x:v>4/16条主动品牌回答提及罚款、虚假宣传或行政处罚。</x:v>
      </x:c>
      <x:c r="D2" s="8" t="str">
        <x:v>DeepSeek Q17、DeepSeek Q18、元宝 Q18、千问 Q17</x:v>
      </x:c>
      <x:c r="E2" s="8" t="str">
        <x:v>齐鲁晚报报道引用信用中国处罚信息；需取得处罚决定书原件并核对整改状态。不能把处罚写成模型幻觉。</x:v>
      </x:c>
      <x:c r="F2" s="8" t="str">
        <x:v>https://finance.dzwww.com/sdcj/202603/t20260326_17577384.htm</x:v>
      </x:c>
    </x:row>
    <x:row r="3" ht="52" customHeight="1">
      <x:c r="A3" s="8" t="str">
        <x:v>中等</x:v>
      </x:c>
      <x:c r="B3" s="8" t="str">
        <x:v>产品规格和参数在回答间漂移</x:v>
      </x:c>
      <x:c r="C3" s="8" t="str">
        <x:v>71%、75%、75.6%混用；“实测74%—75%”“吸收利用率94%—96%”等精确数字未见本轮可直接核验的同SKU、同批次报告。</x:v>
      </x:c>
      <x:c r="D3" s="8" t="str">
        <x:v>千问 Q18、千问 Q19、豆包 Q18、元宝 Q19</x:v>
      </x:c>
      <x:c r="E3" s="8" t="str">
        <x:v>不同SKU/口味可能确有差异；暂列待核实，不把差异直接判为错误。</x:v>
      </x:c>
      <x:c r="F3" s="8" t="str"/>
    </x:row>
    <x:row r="4" ht="52" customHeight="1">
      <x:c r="A4" s="8" t="str">
        <x:v>中等</x:v>
      </x:c>
      <x:c r="B4" s="8" t="str">
        <x:v>品类定位被弱化或错置</x:v>
      </x:c>
      <x:c r="C4" s="8" t="str">
        <x:v>豆包Q15将怡可纳放在第8位，描述为“主打平价肌酸、电解质、便携蛋白”，未提酵母蛋白。</x:v>
      </x:c>
      <x:c r="D4" s="8" t="str">
        <x:v>豆包 Q15</x:v>
      </x:c>
      <x:c r="E4" s="8" t="str">
        <x:v>与其余16条主动品牌回答的酵母蛋白主线不一致；可能是模型摘要偏移，需在可公开核验的品牌资料中明确主线。</x:v>
      </x:c>
      <x:c r="F4" s="8" t="str"/>
    </x:row>
    <x:row r="5" ht="52" customHeight="1">
      <x:c r="A5" s="8" t="str">
        <x:v>中等</x:v>
      </x:c>
      <x:c r="B5" s="8" t="str">
        <x:v>口感与冲泡摩擦被反复复述</x:v>
      </x:c>
      <x:c r="C5" s="8" t="str">
        <x:v>12/16条主动品牌回答涉及泡沫、飞粉、沙感或溶解度。</x:v>
      </x:c>
      <x:c r="D5" s="8" t="str">
        <x:v>DeepSeek Q18、豆包 Q19、元宝 Q18、千问 Q19</x:v>
      </x:c>
      <x:c r="E5" s="8" t="str">
        <x:v>回答主要引用社区反馈；尚不能推断所有批次有相同问题。需要实测、批次化产品说明和真实反馈处理。</x:v>
      </x:c>
      <x:c r="F5" s="8" t="str"/>
    </x:row>
    <x:row r="6" ht="52" customHeight="1">
      <x:c r="A6" s="8" t="str">
        <x:v>中等</x:v>
      </x:c>
      <x:c r="B6" s="8" t="str">
        <x:v>嘌呤/尿酸表述互相冲突</x:v>
      </x:c>
      <x:c r="C6" s="8" t="str">
        <x:v>10/16条主动品牌回答讨论尿酸、痛风或嘌呤；有回答称“低嘌呤”，也有回答主张谨慎。</x:v>
      </x:c>
      <x:c r="D6" s="8" t="str">
        <x:v>豆包 Q19、元宝 Q18、千问 Q18</x:v>
      </x:c>
      <x:c r="E6" s="8" t="str">
        <x:v>不能用原料级数据替代成品、批次检测，更不能做疾病相关承诺。</x:v>
      </x:c>
      <x:c r="F6" s="8" t="str"/>
    </x:row>
    <x:row r="7" ht="52" customHeight="1">
      <x:c r="A7" s="8" t="str">
        <x:v>待核实</x:v>
      </x:c>
      <x:c r="B7" s="8" t="str">
        <x:v>投诉与异物个案被扩大为品牌品控结论</x:v>
      </x:c>
      <x:c r="C7" s="8" t="str">
        <x:v>DeepSeek Q18—Q20引用投诉或社区个案，并延伸为“品控波动”的判断。</x:v>
      </x:c>
      <x:c r="D7" s="8" t="str">
        <x:v>DeepSeek Q18、DeepSeek Q19、DeepSeek Q20</x:v>
      </x:c>
      <x:c r="E7" s="8" t="str">
        <x:v>个案投诉真实性、处置结果及代表性均未独立核实；作为舆情风险，不写成已证实的普遍质量缺陷。</x:v>
      </x:c>
      <x:c r="F7" s="8" t="str"/>
    </x:row>
    <x:row r="8" ht="52" customHeight="1">
      <x:c r="A8" s="8" t="str">
        <x:v>中等</x:v>
      </x:c>
      <x:c r="B8" s="8" t="str">
        <x:v>竞品中文名与捷克NUTREND混同</x:v>
      </x:c>
      <x:c r="C8" s="8" t="str">
        <x:v>DeepSeek Q7/Q10/Q15及Kimi Q9将“诺特兰德”标为“Nutrend”；两家公开主体资料并不相同。Kimi Q9还写出“约22g/100g蛋白”，与其同答≥70%的选购门槛自相矛盾。</x:v>
      </x:c>
      <x:c r="D8" s="8" t="str">
        <x:v>DeepSeek Q7、DeepSeek Q10、DeepSeek Q15、Kimi Q9</x:v>
      </x:c>
      <x:c r="E8" s="8" t="str">
        <x:v>中文品牌诺特兰德由山东斯伯特公开宣称运营；捷克NUTREND官网列捷克公司。此项不改变本轮“诺特兰德”中文词提及计数，但提醒竞品资料不可照搬AI。</x:v>
      </x:c>
      <x:c r="F8" s="8" t="str">
        <x:v>https://sdsbtbiotech.com/
https://www.nutrend.cz/kontaktujte-nas</x:v>
      </x:c>
    </x:row>
    <x:row r="9" ht="52" customHeight="1">
      <x:c r="A9" s="8" t="str">
        <x:v>待核实</x:v>
      </x:c>
      <x:c r="B9" s="8" t="str">
        <x:v>跨品牌幻觉/来源质量信号</x:v>
      </x:c>
      <x:c r="C9" s="8" t="str">
        <x:v>千问Q20把“蜜雪冰茶 81.5%酵母蛋白”列为竞品，本轮公开检索未找到可核验对应产品。</x:v>
      </x:c>
      <x:c r="D9" s="8" t="str">
        <x:v>千问 Q20</x:v>
      </x:c>
      <x:c r="E9" s="8" t="str">
        <x:v>列入AI说法待核验，不纳入竞品统计；提示不能直接把AI答案当市场事实。</x:v>
      </x:c>
      <x:c r="F9" s="8" t="str"/>
    </x:row>
  </x:sheetData>
  <x:pageMargins left="0.7" right="0.7" top="0.75" bottom="0.75" header="0.3" footer="0.3"/>
</x:worksheet>
</file>

<file path=xl/worksheets/sheet8.xml><?xml version="1.0" encoding="utf-8"?>
<x:worksheet xmlns:x="http://schemas.openxmlformats.org/spreadsheetml/2006/main">
  <x:sheetPr>
    <x:tabColor rgb="FF23556B"/>
  </x:sheetPr>
  <x:sheetViews>
    <x:sheetView showGridLines="0" workbookViewId="0">
      <x:pane ySplit="1" topLeftCell="A2" activePane="bottomLeft" state="frozen"/>
    </x:sheetView>
  </x:sheetViews>
  <x:sheetFormatPr defaultRowHeight="15"/>
  <x:cols>
    <x:col min="1" max="1" width="13" hidden="0" customWidth="1"/>
    <x:col min="2" max="2" width="40" hidden="0" customWidth="1"/>
    <x:col min="3" max="3" width="80" hidden="0" customWidth="1"/>
    <x:col min="4" max="4" width="55" hidden="0" customWidth="1"/>
    <x:col min="5" max="5" width="65" hidden="0" customWidth="1"/>
    <x:col min="6" max="6" width="85" hidden="0" customWidth="1"/>
    <x:col min="7" max="7" width="60" hidden="0" customWidth="1"/>
    <x:col min="8" max="8" width="65" hidden="0" customWidth="1"/>
    <x:col min="9" max="9" width="55" hidden="0" customWidth="1"/>
    <x:col min="10" max="10" width="75" hidden="0" customWidth="1"/>
    <x:col min="11" max="11" width="40" hidden="0" customWidth="1"/>
  </x:cols>
  <x:sheetData>
    <x:row r="1" ht="30" customHeight="1">
      <x:c r="A1" s="3" t="str">
        <x:v>Priority</x:v>
      </x:c>
      <x:c r="B1" s="3" t="str">
        <x:v>Opportunity</x:v>
      </x:c>
      <x:c r="C1" s="3" t="str">
        <x:v>Evidence</x:v>
      </x:c>
      <x:c r="D1" s="3" t="str">
        <x:v>Why</x:v>
      </x:c>
      <x:c r="E1" s="3" t="str">
        <x:v>Root Cause</x:v>
      </x:c>
      <x:c r="F1" s="3" t="str">
        <x:v>Action</x:v>
      </x:c>
      <x:c r="G1" s="3" t="str">
        <x:v>Content</x:v>
      </x:c>
      <x:c r="H1" s="3" t="str">
        <x:v>Evidence Asset</x:v>
      </x:c>
      <x:c r="I1" s="3" t="str">
        <x:v>Source Type</x:v>
      </x:c>
      <x:c r="J1" s="3" t="str">
        <x:v>KPI / Validation</x:v>
      </x:c>
      <x:c r="K1" s="3" t="str">
        <x:v>追溯问答</x:v>
      </x:c>
    </x:row>
    <x:row r="2" ht="68" customHeight="1">
      <x:c r="A2" s="8" t="str">
        <x:v>P0</x:v>
      </x:c>
      <x:c r="B2" s="8" t="str">
        <x:v>修复可验证的品牌信任基础</x:v>
      </x:c>
      <x:c r="C2" s="8" t="str">
        <x:v>4/16主动回答出现监管处罚；AI复述“首家”“更适合国人体质”等无证据宣传风险。</x:v>
      </x:c>
      <x:c r="D2" s="8" t="str">
        <x:v>这直接影响品牌可信度，内容增量无法替代合规整改。</x:v>
      </x:c>
      <x:c r="E2" s="8" t="str">
        <x:v>已知存在历史宣传合规问题；当前整改范围、公开材料与审核机制待核。</x:v>
      </x:c>
      <x:c r="F2" s="8" t="str">
        <x:v>建立SKU及宣称台账，逐条核对直播/店铺/达人话术；取得处罚决定书和整改材料，建立法务审批与证据有效期。</x:v>
      </x:c>
      <x:c r="G2" s="8" t="str">
        <x:v>公开透明的品牌事实页与常见误解答复，不复述无依据“首家/更适合国人体质”。</x:v>
      </x:c>
      <x:c r="H2" s="8" t="str">
        <x:v>处罚及整改文件、可公开的企业主体信息、已审批宣称清单。</x:v>
      </x:c>
      <x:c r="I2" s="8" t="str">
        <x:v>品牌官方页、电商旗舰店、监管公开记录</x:v>
      </x:c>
      <x:c r="J2" s="8" t="str">
        <x:v>下一轮Q17—Q20处罚事实表述准确；无新增未经证实宣称。</x:v>
      </x:c>
      <x:c r="K2" s="8" t="str">
        <x:v>DeepSeek Q17、元宝 Q18、千问 Q17</x:v>
      </x:c>
    </x:row>
    <x:row r="3" ht="68" customHeight="1">
      <x:c r="A3" s="8" t="str">
        <x:v>P0</x:v>
      </x:c>
      <x:c r="B3" s="8" t="str">
        <x:v>做出可索引的产品事实与检测中心</x:v>
      </x:c>
      <x:c r="C3" s="8" t="str">
        <x:v>16/16主动回答识别酵母蛋白，但71%/75%/75.6%、嘌呤与吸收数据混用；采集引用中未识别独立品牌官网域名。</x:v>
      </x:c>
      <x:c r="D3" s="8" t="str">
        <x:v>AI有品类印象，却缺同SKU、同批次可引用的一手事实。</x:v>
      </x:c>
      <x:c r="E3" s="8" t="str">
        <x:v>品牌表达与权威证据缺口均有迹象；是否因抓取不可达需技术复核。</x:v>
      </x:c>
      <x:c r="F3" s="8" t="str">
        <x:v>为每个在售SKU发布唯一页面，列商品全称、食品类别、完整配料、每100g营养、适用/不适用人群、批次检测日期和变更记录。</x:v>
      </x:c>
      <x:c r="G3" s="8" t="str">
        <x:v>酵母蛋白产品规格页、检测报告解读、乳清/分离乳清/植物蛋白客观对照。</x:v>
      </x:c>
      <x:c r="H3" s="8" t="str">
        <x:v>标签实拍、第三方检验原件、乳糖与嘌呤成品检测、批次信息。</x:v>
      </x:c>
      <x:c r="I3" s="8" t="str">
        <x:v>品牌官网/可索引官方站、官方电商商品页、检测机构</x:v>
      </x:c>
      <x:c r="J3" s="8" t="str">
        <x:v>20条关键事实在4个可用平台的Q17—Q20复测中准确率；源页可检索可访问。</x:v>
      </x:c>
      <x:c r="K3" s="8" t="str">
        <x:v>千问 Q18、Q19；豆包 Q19</x:v>
      </x:c>
    </x:row>
    <x:row r="4" ht="68" customHeight="1">
      <x:c r="A4" s="8" t="str">
        <x:v>P0</x:v>
      </x:c>
      <x:c r="B4" s="8" t="str">
        <x:v>占据“乳糖不耐/乳清不适”决策问题</x:v>
      </x:c>
      <x:c r="C4" s="8" t="str">
        <x:v>Q5、Q6共0/10条自然回答提怡可纳；主动问品牌时却反复提无乳糖。</x:v>
      </x:c>
      <x:c r="D4" s="8" t="str">
        <x:v>强场景关联没有转为消费者需求问题中的品牌推荐。</x:v>
      </x:c>
      <x:c r="E4" s="8" t="str">
        <x:v>内容供给/信源分布或竞争性证据不足，现有样本不能证明唯一根因。</x:v>
      </x:c>
      <x:c r="F4" s="8" t="str">
        <x:v>先验证每款在售产品实际乳成分与交叉接触信息，再发布针对Q5/Q6的选择树和SKU对照，并争取独立测评。</x:v>
      </x:c>
      <x:c r="G4" s="8" t="str">
        <x:v>“乳糖不耐如何选蛋白来源”与“乳清不适的替代方案”两篇决策指南。</x:v>
      </x:c>
      <x:c r="H4" s="8" t="str">
        <x:v>成品标签、乳糖检测、过敏原声明、真实耐受反馈；避免保证“不胀气”。</x:v>
      </x:c>
      <x:c r="I4" s="8" t="str">
        <x:v>官方产品页、专业营养科普、真实测评/问答</x:v>
      </x:c>
      <x:c r="J4" s="8" t="str">
        <x:v>同题、同平台、独立新会话复测，Q5/Q6品牌提及平台数由0/5提高并记录来源。</x:v>
      </x:c>
      <x:c r="K4" s="8" t="str">
        <x:v>Q5、Q6</x:v>
      </x:c>
    </x:row>
    <x:row r="5" ht="68" customHeight="1">
      <x:c r="A5" s="8" t="str">
        <x:v>P1</x:v>
      </x:c>
      <x:c r="B5" s="8" t="str">
        <x:v>建立“专研酵母蛋白”的证据链</x:v>
      </x:c>
      <x:c r="C5" s="8" t="str">
        <x:v>目标表述0/16主动回答原样出现；Q15只1/4提及且豆包描述为平价肌酸/电解质。</x:v>
      </x:c>
      <x:c r="D5" s="8" t="str">
        <x:v>主打品类之外的专业身份尚不稳定。</x:v>
      </x:c>
      <x:c r="E5" s="8" t="str">
        <x:v>品牌认知冲突与专业证据缺口；研发资产未审计。</x:v>
      </x:c>
      <x:c r="F5" s="8" t="str">
        <x:v>梳理研发时间线、酵母蛋白SKU迭代、口感与溶解工艺改善的可公开证明，审掉不能举证的领先性表述。</x:v>
      </x:c>
      <x:c r="G5" s="8" t="str">
        <x:v>“为何专注酵母蛋白”技术说明与版本变化页。</x:v>
      </x:c>
      <x:c r="H5" s="8" t="str">
        <x:v>研发记录、配方变更、第三方对比测试、专家署名审阅。</x:v>
      </x:c>
      <x:c r="I5" s="8" t="str">
        <x:v>官方研发页、检测机构、垂直运动营养媒体</x:v>
      </x:c>
      <x:c r="J5" s="8" t="str">
        <x:v>Q15和Q17—Q20复测中“酵母蛋白+运动营养+专业依据”同答出现次数。</x:v>
      </x:c>
      <x:c r="K5" s="8" t="str">
        <x:v>豆包 Q15、Q17—Q20</x:v>
      </x:c>
    </x:row>
    <x:row r="6" ht="68" customHeight="1">
      <x:c r="A6" s="8" t="str">
        <x:v>P1</x:v>
      </x:c>
      <x:c r="B6" s="8" t="str">
        <x:v>把百元价位优势转成可核验比较</x:v>
      </x:c>
      <x:c r="C6" s="8" t="str">
        <x:v>Q9仅1/5提怡可纳，Q10与Q12合计0/9；主动问答15/16反复强调价格优势。</x:v>
      </x:c>
      <x:c r="D6" s="8" t="str">
        <x:v>“便宜”被知道，但未稳定进入预算/学生党购买清单。</x:v>
      </x:c>
      <x:c r="E6" s="8" t="str">
        <x:v>竞品资产优势与价格/SKU事实更新快；唯一根因证据不足。</x:v>
      </x:c>
      <x:c r="F6" s="8" t="str">
        <x:v>按可售SKU建立单位蛋白成本计算器，保留价格抓取时间、规格、优惠条件，并与同价产品对照。</x:v>
      </x:c>
      <x:c r="G6" s="8" t="str">
        <x:v>100元预算、学生党与长期口粮三种可更新对比页。</x:v>
      </x:c>
      <x:c r="H6" s="8" t="str">
        <x:v>实时店铺价、营养标签、每克蛋白成本公式、运费/券条件。</x:v>
      </x:c>
      <x:c r="I6" s="8" t="str">
        <x:v>官方电商商品页、独立价格/配料测评</x:v>
      </x:c>
      <x:c r="J6" s="8" t="str">
        <x:v>Q9/Q12复测提及数及单位蛋白成本事实准确率。</x:v>
      </x:c>
      <x:c r="K6" s="8" t="str">
        <x:v>Q9、Q10、Q12</x:v>
      </x:c>
    </x:row>
    <x:row r="7" ht="68" customHeight="1">
      <x:c r="A7" s="8" t="str">
        <x:v>P1</x:v>
      </x:c>
      <x:c r="B7" s="8" t="str">
        <x:v>回应冲泡口感与嘌呤顾虑</x:v>
      </x:c>
      <x:c r="C7" s="8" t="str">
        <x:v>12/16主动回答讨论体验；10/16讨论尿酸/嘌呤。</x:v>
      </x:c>
      <x:c r="D7" s="8" t="str">
        <x:v>反复出现的犹豫点会抵消价格与无乳糖优势。</x:v>
      </x:c>
      <x:c r="E7" s="8" t="str">
        <x:v>真实产品体验、UGC扩散与证据不足可能并存，需先产品/检测复核。</x:v>
      </x:c>
      <x:c r="F7" s="8" t="str">
        <x:v>做盲测与批次稳定性评估，公开可复核冲泡条件；对嘌呤只发布成品检测和适用边界。</x:v>
      </x:c>
      <x:c r="G7" s="8" t="str">
        <x:v>不同水温/静置时间的可重复冲泡测试；常见问题与不适用人群。</x:v>
      </x:c>
      <x:c r="H7" s="8" t="str">
        <x:v>盲测方案、原始评价、成品嘌呤报告、投诉处理台账。</x:v>
      </x:c>
      <x:c r="I7" s="8" t="str">
        <x:v>独立实验室、真实消费者测评、官方FAQ</x:v>
      </x:c>
      <x:c r="J7" s="8" t="str">
        <x:v>下一轮回答中未经证实的“低嘌呤/高尿酸友好”表述减少，口感评价可追溯。</x:v>
      </x:c>
      <x:c r="K7" s="8" t="str">
        <x:v>DeepSeek Q18、豆包 Q19、千问 Q18</x:v>
      </x:c>
    </x:row>
    <x:row r="8" ht="68" customHeight="1">
      <x:c r="A8" s="8" t="str">
        <x:v>P2</x:v>
      </x:c>
      <x:c r="B8" s="8" t="str">
        <x:v>广义增肌/新手问题观察</x:v>
      </x:c>
      <x:c r="C8" s="8" t="str">
        <x:v>Q7、Q8共0/10提及，乳清和主流运动营养品牌占据推荐。</x:v>
      </x:c>
      <x:c r="D8" s="8" t="str">
        <x:v>目标产品与高强度增肌的直接比较需要更强人体证据。</x:v>
      </x:c>
      <x:c r="E8" s="8" t="str">
        <x:v>产品事实/竞品资产优势难以凭本轮判定。</x:v>
      </x:c>
      <x:c r="F8" s="8" t="str">
        <x:v>暂不以“比乳清更适合增肌”抢占；先做真实适用人群与训练场景研究。</x:v>
      </x:c>
      <x:c r="G8" s="8" t="str">
        <x:v>中性蛋白来源选择指南。</x:v>
      </x:c>
      <x:c r="H8" s="8" t="str">
        <x:v>人体试验或系统性研究、成品氨基酸数据。</x:v>
      </x:c>
      <x:c r="I8" s="8" t="str">
        <x:v>学术研究、专业营养机构</x:v>
      </x:c>
      <x:c r="J8" s="8" t="str">
        <x:v>完成科学论证门槛后再扩量内容。</x:v>
      </x:c>
      <x:c r="K8" s="8" t="str">
        <x:v>Q7、Q8</x:v>
      </x:c>
    </x:row>
    <x:row r="9" ht="68" customHeight="1">
      <x:c r="A9" s="8" t="str">
        <x:v>P2</x:v>
      </x:c>
      <x:c r="B9" s="8" t="str">
        <x:v>一般品类科普持续监测</x:v>
      </x:c>
      <x:c r="C9" s="8" t="str">
        <x:v>Q2、Q3、Q16无自然提及；这些问题更常输出原料知识而非品牌推荐。</x:v>
      </x:c>
      <x:c r="D9" s="8" t="str">
        <x:v>当前直接购买意图相对弱。</x:v>
      </x:c>
      <x:c r="E9" s="8" t="str">
        <x:v>问题性质限制，非必然品牌缺口。</x:v>
      </x:c>
      <x:c r="F9" s="8" t="str">
        <x:v>维护准确科普，避免强行植入品牌。</x:v>
      </x:c>
      <x:c r="G9" s="8" t="str">
        <x:v>酵母蛋白和乳清区别、食品类别与误区。</x:v>
      </x:c>
      <x:c r="H9" s="8" t="str">
        <x:v>法规与原料科学来源。</x:v>
      </x:c>
      <x:c r="I9" s="8" t="str">
        <x:v>官方标准/专业科普</x:v>
      </x:c>
      <x:c r="J9" s="8" t="str">
        <x:v>下一轮重点看事实准确率，不强求提及。</x:v>
      </x:c>
      <x:c r="K9" s="8" t="str">
        <x:v>Q2、Q3、Q16</x:v>
      </x:c>
    </x:row>
  </x:sheetData>
  <x:pageMargins left="0.7" right="0.7" top="0.75" bottom="0.75" header="0.3" footer="0.3"/>
</x:worksheet>
</file>